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mpd\src-models\"/>
    </mc:Choice>
  </mc:AlternateContent>
  <xr:revisionPtr revIDLastSave="0" documentId="13_ncr:1_{3549063C-D5F2-4E26-B08F-ADFB25834237}" xr6:coauthVersionLast="47" xr6:coauthVersionMax="47" xr10:uidLastSave="{00000000-0000-0000-0000-000000000000}"/>
  <bookViews>
    <workbookView xWindow="-90" yWindow="-21710" windowWidth="38620" windowHeight="21100" firstSheet="2" activeTab="10" xr2:uid="{6572D17F-2786-461A-AF68-FCA595C6091B}"/>
  </bookViews>
  <sheets>
    <sheet name="Header" sheetId="106" r:id="rId1"/>
    <sheet name="Body" sheetId="107" r:id="rId2"/>
    <sheet name="Common" sheetId="114" r:id="rId3"/>
    <sheet name="Report" sheetId="108" r:id="rId4"/>
    <sheet name="eD" sheetId="183" r:id="rId5"/>
    <sheet name="eD-fsh" sheetId="184" r:id="rId6"/>
    <sheet name="eD-ConceptMap" sheetId="185" r:id="rId7"/>
    <sheet name="eD-CM-fsh" sheetId="187" r:id="rId8"/>
    <sheet name="eP" sheetId="173" r:id="rId9"/>
    <sheet name="eP-fsh" sheetId="175" r:id="rId10"/>
    <sheet name="eP-ConceptMap" sheetId="176" r:id="rId11"/>
    <sheet name="eP-ConceptMap-2" sheetId="182" r:id="rId12"/>
    <sheet name="eP-CM-fsh" sheetId="177" r:id="rId13"/>
    <sheet name="Subj" sheetId="12" r:id="rId14"/>
    <sheet name="Subj-fsh" sheetId="73" r:id="rId15"/>
    <sheet name="Subj-ConceptMap-1" sheetId="141" r:id="rId16"/>
    <sheet name="Subj-CM-fsh" sheetId="143" r:id="rId17"/>
    <sheet name="Product" sheetId="178" r:id="rId18"/>
    <sheet name="Product-fsh" sheetId="179" r:id="rId19"/>
    <sheet name="Product-ConceptMap" sheetId="180" r:id="rId20"/>
    <sheet name="Product-CM-fsh" sheetId="181" r:id="rId21"/>
  </sheets>
  <externalReferences>
    <externalReference r:id="rId2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87" l="1"/>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Q16" i="185"/>
  <c r="R16" i="185"/>
  <c r="Q17" i="185"/>
  <c r="R17" i="185"/>
  <c r="Q18" i="185"/>
  <c r="R18" i="185"/>
  <c r="Q19" i="185"/>
  <c r="R19" i="185"/>
  <c r="Q20" i="185"/>
  <c r="R20" i="185"/>
  <c r="Q21" i="185"/>
  <c r="R21" i="185"/>
  <c r="Q22" i="185"/>
  <c r="R22" i="185"/>
  <c r="Q23" i="185"/>
  <c r="S23" i="185" s="1" a="1"/>
  <c r="S23" i="185" s="1"/>
  <c r="R23" i="185"/>
  <c r="Q24" i="185"/>
  <c r="R24" i="185"/>
  <c r="Q25" i="185"/>
  <c r="R25" i="185"/>
  <c r="Q26" i="185"/>
  <c r="R26" i="185"/>
  <c r="Q27" i="185"/>
  <c r="R27" i="185"/>
  <c r="Q28" i="185"/>
  <c r="R28" i="185"/>
  <c r="Q29" i="185"/>
  <c r="R29" i="185"/>
  <c r="Q30" i="185"/>
  <c r="R30" i="185"/>
  <c r="Q31" i="185"/>
  <c r="S31" i="185" s="1" a="1"/>
  <c r="S31" i="185" s="1"/>
  <c r="R31" i="185"/>
  <c r="Q32" i="185"/>
  <c r="R32" i="185"/>
  <c r="Q33" i="185"/>
  <c r="R33" i="185"/>
  <c r="Q34" i="185"/>
  <c r="R34" i="185"/>
  <c r="Q35" i="185"/>
  <c r="S35" i="185" s="1" a="1"/>
  <c r="S35" i="185" s="1"/>
  <c r="R35" i="185"/>
  <c r="Q36" i="185"/>
  <c r="R36" i="185"/>
  <c r="Q37" i="185"/>
  <c r="R37" i="185"/>
  <c r="Q38" i="185"/>
  <c r="R38" i="185"/>
  <c r="Q39" i="185"/>
  <c r="R39" i="185"/>
  <c r="Q40" i="185"/>
  <c r="R40" i="185"/>
  <c r="Q41" i="185"/>
  <c r="R41" i="185"/>
  <c r="Q42" i="185"/>
  <c r="R42" i="185"/>
  <c r="Q43" i="185"/>
  <c r="S43" i="185" s="1" a="1"/>
  <c r="S43" i="185" s="1"/>
  <c r="R43" i="185"/>
  <c r="Q44" i="185"/>
  <c r="R44" i="185"/>
  <c r="Q45" i="185"/>
  <c r="R45" i="185"/>
  <c r="Q46" i="185"/>
  <c r="R46" i="185"/>
  <c r="Q47" i="185"/>
  <c r="S47" i="185" s="1" a="1"/>
  <c r="S47" i="185" s="1"/>
  <c r="R47" i="185"/>
  <c r="Q48" i="185"/>
  <c r="R48" i="185"/>
  <c r="Q49" i="185"/>
  <c r="R49" i="185"/>
  <c r="Q50" i="185"/>
  <c r="R50" i="185"/>
  <c r="Q51" i="185"/>
  <c r="R51" i="185"/>
  <c r="Q52" i="185"/>
  <c r="R52" i="185"/>
  <c r="Q53" i="185"/>
  <c r="R53" i="185"/>
  <c r="Q54" i="185"/>
  <c r="R54" i="185"/>
  <c r="Q55" i="185"/>
  <c r="S55" i="185" s="1" a="1"/>
  <c r="S55" i="185" s="1"/>
  <c r="R55" i="185"/>
  <c r="Q56" i="185"/>
  <c r="R56" i="185"/>
  <c r="Q57" i="185"/>
  <c r="R57" i="185"/>
  <c r="Q58" i="185"/>
  <c r="R58" i="185"/>
  <c r="Q59" i="185"/>
  <c r="S59" i="185" s="1" a="1"/>
  <c r="S59" i="185" s="1"/>
  <c r="R59" i="185"/>
  <c r="Q60" i="185"/>
  <c r="R60" i="185"/>
  <c r="Q61" i="185"/>
  <c r="R61" i="185"/>
  <c r="Q62" i="185"/>
  <c r="R62" i="185"/>
  <c r="Q63" i="185"/>
  <c r="R63" i="185"/>
  <c r="Q64" i="185"/>
  <c r="R64" i="185"/>
  <c r="Q65" i="185"/>
  <c r="R65" i="185"/>
  <c r="Q66" i="185"/>
  <c r="R66" i="185"/>
  <c r="Q67" i="185"/>
  <c r="R67" i="185"/>
  <c r="Q68" i="185"/>
  <c r="R68" i="185"/>
  <c r="Q69" i="185"/>
  <c r="R69" i="185"/>
  <c r="Q70" i="185"/>
  <c r="R70" i="185"/>
  <c r="Q71" i="185"/>
  <c r="R71" i="185"/>
  <c r="Q72" i="185"/>
  <c r="R72" i="185"/>
  <c r="Q73" i="185"/>
  <c r="R73" i="185"/>
  <c r="Q74" i="185"/>
  <c r="S74" i="185" s="1" a="1"/>
  <c r="S74" i="185" s="1"/>
  <c r="R74" i="185"/>
  <c r="Q75" i="185"/>
  <c r="R75" i="185"/>
  <c r="Q76" i="185"/>
  <c r="R76" i="185"/>
  <c r="Q77" i="185"/>
  <c r="R77" i="185"/>
  <c r="Q78" i="185"/>
  <c r="R78" i="185"/>
  <c r="Q79" i="185"/>
  <c r="R79" i="185"/>
  <c r="Q80" i="185"/>
  <c r="R80" i="185"/>
  <c r="Q81" i="185"/>
  <c r="R81" i="185"/>
  <c r="Q82" i="185"/>
  <c r="R82" i="185"/>
  <c r="Q83" i="185"/>
  <c r="R83" i="185"/>
  <c r="Q84" i="185"/>
  <c r="R84" i="185"/>
  <c r="Q85" i="185"/>
  <c r="S85" i="185" s="1" a="1"/>
  <c r="S85" i="185" s="1"/>
  <c r="R85" i="185"/>
  <c r="Q86" i="185"/>
  <c r="R86" i="185"/>
  <c r="Q87" i="185"/>
  <c r="S87" i="185" s="1" a="1"/>
  <c r="S87" i="185" s="1"/>
  <c r="R87" i="185"/>
  <c r="Q88" i="185"/>
  <c r="R88" i="185"/>
  <c r="Q89" i="185"/>
  <c r="S89" i="185" s="1" a="1"/>
  <c r="S89" i="185" s="1"/>
  <c r="R89" i="185"/>
  <c r="Q90" i="185"/>
  <c r="R90" i="185"/>
  <c r="Q91" i="185"/>
  <c r="S91" i="185" s="1" a="1"/>
  <c r="S91" i="185" s="1"/>
  <c r="R91" i="185"/>
  <c r="Q92" i="185"/>
  <c r="R92" i="185"/>
  <c r="Q93" i="185"/>
  <c r="R93" i="185"/>
  <c r="Q94" i="185"/>
  <c r="R94" i="185"/>
  <c r="Q95" i="185"/>
  <c r="S95" i="185" s="1" a="1"/>
  <c r="R95" i="185"/>
  <c r="S95" i="185"/>
  <c r="Q96" i="185"/>
  <c r="S96" i="185" s="1" a="1"/>
  <c r="S96" i="185" s="1"/>
  <c r="R96" i="185"/>
  <c r="Q97" i="185"/>
  <c r="S97" i="185" s="1" a="1"/>
  <c r="R97" i="185"/>
  <c r="S97" i="185"/>
  <c r="Q98" i="185"/>
  <c r="S98" i="185" s="1" a="1"/>
  <c r="S98" i="185" s="1"/>
  <c r="R98" i="185"/>
  <c r="I16" i="185"/>
  <c r="J16" i="185"/>
  <c r="K16" i="185"/>
  <c r="L16" i="185"/>
  <c r="M16" i="185"/>
  <c r="N16" i="185"/>
  <c r="K17" i="185"/>
  <c r="L17" i="185"/>
  <c r="M17" i="185"/>
  <c r="N17" i="185"/>
  <c r="K18" i="185"/>
  <c r="L18" i="185"/>
  <c r="M18" i="185"/>
  <c r="N18" i="185"/>
  <c r="K19" i="185"/>
  <c r="L19" i="185"/>
  <c r="M19" i="185"/>
  <c r="N19" i="185"/>
  <c r="I20" i="185"/>
  <c r="K20" i="185"/>
  <c r="L20" i="185"/>
  <c r="M20" i="185"/>
  <c r="N20" i="185"/>
  <c r="K21" i="185"/>
  <c r="L21" i="185"/>
  <c r="M21" i="185"/>
  <c r="N21" i="185"/>
  <c r="K22" i="185"/>
  <c r="L22" i="185"/>
  <c r="M22" i="185"/>
  <c r="N22" i="185"/>
  <c r="K23" i="185"/>
  <c r="L23" i="185"/>
  <c r="M23" i="185"/>
  <c r="N23" i="185"/>
  <c r="I24" i="185"/>
  <c r="J24" i="185"/>
  <c r="K24" i="185"/>
  <c r="L24" i="185"/>
  <c r="M24" i="185"/>
  <c r="N24" i="185"/>
  <c r="K25" i="185"/>
  <c r="L25" i="185"/>
  <c r="M25" i="185"/>
  <c r="N25" i="185"/>
  <c r="K26" i="185"/>
  <c r="L26" i="185"/>
  <c r="M26" i="185"/>
  <c r="N26" i="185"/>
  <c r="B18" i="185"/>
  <c r="C18" i="185"/>
  <c r="J18" i="185" s="1"/>
  <c r="C17" i="184"/>
  <c r="C18" i="184"/>
  <c r="C19" i="184"/>
  <c r="C20" i="184"/>
  <c r="C21" i="184"/>
  <c r="C22" i="184"/>
  <c r="C23" i="184"/>
  <c r="I19" i="183"/>
  <c r="I20" i="183"/>
  <c r="I21" i="183"/>
  <c r="I22" i="183"/>
  <c r="I23" i="183"/>
  <c r="I24" i="183"/>
  <c r="C9" i="184"/>
  <c r="I12" i="183"/>
  <c r="C12" i="184" s="1"/>
  <c r="I11" i="183"/>
  <c r="C11" i="184" s="1"/>
  <c r="B13" i="187"/>
  <c r="B12" i="187"/>
  <c r="B9" i="187"/>
  <c r="B8" i="187"/>
  <c r="B4" i="187"/>
  <c r="G2" i="187"/>
  <c r="C26" i="185"/>
  <c r="J26" i="185" s="1"/>
  <c r="B26" i="185"/>
  <c r="C25" i="185"/>
  <c r="J25" i="185" s="1"/>
  <c r="B25" i="185"/>
  <c r="C24" i="185"/>
  <c r="B24" i="185"/>
  <c r="C23" i="185"/>
  <c r="J23" i="185" s="1"/>
  <c r="B23" i="185"/>
  <c r="B22" i="185"/>
  <c r="B21" i="185"/>
  <c r="B20" i="185"/>
  <c r="B19" i="185"/>
  <c r="C17" i="185"/>
  <c r="J17" i="185" s="1"/>
  <c r="B17" i="185"/>
  <c r="C16" i="185"/>
  <c r="B16" i="185"/>
  <c r="R15" i="185"/>
  <c r="Q15" i="185"/>
  <c r="N15" i="185"/>
  <c r="M15" i="185"/>
  <c r="L15" i="185"/>
  <c r="K15" i="185"/>
  <c r="C15" i="185"/>
  <c r="J15" i="185" s="1"/>
  <c r="B15" i="185"/>
  <c r="B14" i="185"/>
  <c r="I19" i="185" s="1"/>
  <c r="B14" i="187"/>
  <c r="G2" i="184"/>
  <c r="C2" i="184"/>
  <c r="C1" i="184"/>
  <c r="I18" i="183"/>
  <c r="I17" i="183"/>
  <c r="I16" i="183"/>
  <c r="C16" i="184" s="1"/>
  <c r="I15" i="183"/>
  <c r="C15" i="184" s="1"/>
  <c r="I10" i="183"/>
  <c r="C10" i="184" s="1"/>
  <c r="I9" i="183"/>
  <c r="I8" i="183"/>
  <c r="C8" i="184" s="1"/>
  <c r="I7" i="183"/>
  <c r="C7" i="184" s="1"/>
  <c r="I6" i="183"/>
  <c r="C6" i="184" s="1"/>
  <c r="I5" i="183"/>
  <c r="C5" i="184" s="1"/>
  <c r="I4" i="183"/>
  <c r="C4" i="184" s="1"/>
  <c r="I3" i="183"/>
  <c r="C3" i="184" s="1"/>
  <c r="G2" i="181"/>
  <c r="B102" i="181"/>
  <c r="B103" i="181"/>
  <c r="B104" i="181"/>
  <c r="B105" i="181"/>
  <c r="B106" i="181"/>
  <c r="B107" i="181"/>
  <c r="B108" i="181"/>
  <c r="B109" i="181"/>
  <c r="B110" i="181"/>
  <c r="B111" i="181"/>
  <c r="B112" i="181"/>
  <c r="B113" i="181"/>
  <c r="B114" i="181"/>
  <c r="B115" i="181"/>
  <c r="B116" i="181"/>
  <c r="B117" i="181"/>
  <c r="B118" i="181"/>
  <c r="B119" i="181"/>
  <c r="B120" i="181"/>
  <c r="B121" i="181"/>
  <c r="B78" i="181"/>
  <c r="B79" i="181"/>
  <c r="B80" i="181"/>
  <c r="B81" i="181"/>
  <c r="B82" i="181"/>
  <c r="B83" i="181"/>
  <c r="B84" i="181"/>
  <c r="B85" i="181"/>
  <c r="B86" i="181"/>
  <c r="B87" i="181"/>
  <c r="B88" i="181"/>
  <c r="B89" i="181"/>
  <c r="B90" i="181"/>
  <c r="B91" i="181"/>
  <c r="B92" i="181"/>
  <c r="B93" i="181"/>
  <c r="B94" i="181"/>
  <c r="B95" i="181"/>
  <c r="B96" i="181"/>
  <c r="B97" i="181"/>
  <c r="B98" i="181"/>
  <c r="B99" i="181"/>
  <c r="B100" i="181"/>
  <c r="B101"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B72" i="181"/>
  <c r="B73" i="181"/>
  <c r="B74" i="181"/>
  <c r="B75" i="181"/>
  <c r="B76" i="181"/>
  <c r="B77" i="181"/>
  <c r="Q92" i="180"/>
  <c r="S92" i="180" s="1" a="1"/>
  <c r="S92" i="180" s="1"/>
  <c r="R92" i="180"/>
  <c r="Q93" i="180"/>
  <c r="S93" i="180" s="1" a="1"/>
  <c r="S93" i="180" s="1"/>
  <c r="R93" i="180"/>
  <c r="Q94" i="180"/>
  <c r="S94" i="180" s="1" a="1"/>
  <c r="S94" i="180" s="1"/>
  <c r="R94" i="180"/>
  <c r="Q95" i="180"/>
  <c r="S95" i="180" s="1" a="1"/>
  <c r="S95" i="180" s="1"/>
  <c r="R95" i="180"/>
  <c r="Q96" i="180"/>
  <c r="S96" i="180" s="1" a="1"/>
  <c r="S96" i="180" s="1"/>
  <c r="R96" i="180"/>
  <c r="Q97" i="180"/>
  <c r="S97" i="180" s="1" a="1"/>
  <c r="S97" i="180" s="1"/>
  <c r="R97" i="180"/>
  <c r="Q98" i="180"/>
  <c r="S98" i="180" s="1" a="1"/>
  <c r="S98" i="180" s="1"/>
  <c r="R98" i="180"/>
  <c r="Q99" i="180"/>
  <c r="S99" i="180" s="1" a="1"/>
  <c r="S99" i="180" s="1"/>
  <c r="R99" i="180"/>
  <c r="Q100" i="180"/>
  <c r="S100" i="180" s="1" a="1"/>
  <c r="S100" i="180" s="1"/>
  <c r="R100" i="180"/>
  <c r="Q101" i="180"/>
  <c r="S101" i="180" s="1" a="1"/>
  <c r="S101" i="180" s="1"/>
  <c r="R101" i="180"/>
  <c r="Q102" i="180"/>
  <c r="S102" i="180" s="1" a="1"/>
  <c r="S102" i="180" s="1"/>
  <c r="R102" i="180"/>
  <c r="Q103" i="180"/>
  <c r="S103" i="180" s="1" a="1"/>
  <c r="S103" i="180" s="1"/>
  <c r="R103" i="180"/>
  <c r="Q104" i="180"/>
  <c r="S104" i="180" s="1" a="1"/>
  <c r="S104" i="180" s="1"/>
  <c r="R104" i="180"/>
  <c r="Q105" i="180"/>
  <c r="S105" i="180" s="1" a="1"/>
  <c r="S105" i="180" s="1"/>
  <c r="R105" i="180"/>
  <c r="Q106" i="180"/>
  <c r="S106" i="180" s="1" a="1"/>
  <c r="S106" i="180" s="1"/>
  <c r="R106" i="180"/>
  <c r="Q107" i="180"/>
  <c r="S107" i="180" s="1" a="1"/>
  <c r="S107" i="180" s="1"/>
  <c r="R107" i="180"/>
  <c r="Q108" i="180"/>
  <c r="S108" i="180" s="1" a="1"/>
  <c r="S108" i="180" s="1"/>
  <c r="R108" i="180"/>
  <c r="Q109" i="180"/>
  <c r="S109" i="180" s="1" a="1"/>
  <c r="S109" i="180" s="1"/>
  <c r="R109" i="180"/>
  <c r="Q110" i="180"/>
  <c r="S110" i="180" s="1" a="1"/>
  <c r="S110" i="180" s="1"/>
  <c r="R110" i="180"/>
  <c r="Q111" i="180"/>
  <c r="S111" i="180" s="1" a="1"/>
  <c r="S111" i="180" s="1"/>
  <c r="R111" i="180"/>
  <c r="Q112" i="180"/>
  <c r="S112" i="180" s="1" a="1"/>
  <c r="S112" i="180" s="1"/>
  <c r="R112" i="180"/>
  <c r="Q22" i="180"/>
  <c r="S22" i="180" s="1" a="1"/>
  <c r="S22" i="180" s="1"/>
  <c r="R22" i="180"/>
  <c r="Q23" i="180"/>
  <c r="S23" i="180" s="1" a="1"/>
  <c r="S23" i="180" s="1"/>
  <c r="R23" i="180"/>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S57" i="180" s="1"/>
  <c r="R57" i="180"/>
  <c r="Q58" i="180"/>
  <c r="S58" i="180" s="1" a="1"/>
  <c r="S58" i="180" s="1"/>
  <c r="R58" i="180"/>
  <c r="Q59" i="180"/>
  <c r="S59" i="180" s="1" a="1"/>
  <c r="S59" i="180" s="1"/>
  <c r="R59" i="180"/>
  <c r="Q60" i="180"/>
  <c r="S60" i="180" s="1" a="1"/>
  <c r="S60" i="180" s="1"/>
  <c r="R60" i="180"/>
  <c r="Q61" i="180"/>
  <c r="S61" i="180" s="1" a="1"/>
  <c r="S61" i="180" s="1"/>
  <c r="R61" i="180"/>
  <c r="Q62" i="180"/>
  <c r="S62" i="180" s="1" a="1"/>
  <c r="S62" i="180" s="1"/>
  <c r="R62" i="180"/>
  <c r="Q63" i="180"/>
  <c r="S63" i="180" s="1" a="1"/>
  <c r="S63" i="180" s="1"/>
  <c r="R63" i="180"/>
  <c r="Q64" i="180"/>
  <c r="S64" i="180" s="1" a="1"/>
  <c r="S64" i="180" s="1"/>
  <c r="R64" i="180"/>
  <c r="Q65" i="180"/>
  <c r="S65" i="180" s="1" a="1"/>
  <c r="S65" i="180" s="1"/>
  <c r="R65" i="180"/>
  <c r="Q66" i="180"/>
  <c r="S66" i="180" s="1" a="1"/>
  <c r="S66" i="180" s="1"/>
  <c r="R66" i="180"/>
  <c r="Q67" i="180"/>
  <c r="S67" i="180" s="1" a="1"/>
  <c r="S67" i="180" s="1"/>
  <c r="R67" i="180"/>
  <c r="Q68" i="180"/>
  <c r="S68" i="180" s="1" a="1"/>
  <c r="S68" i="180" s="1"/>
  <c r="R68" i="180"/>
  <c r="Q69" i="180"/>
  <c r="S69" i="180" s="1" a="1"/>
  <c r="S69" i="180" s="1"/>
  <c r="R69" i="180"/>
  <c r="Q70" i="180"/>
  <c r="S70" i="180" s="1" a="1"/>
  <c r="S70" i="180" s="1"/>
  <c r="R70" i="180"/>
  <c r="Q71" i="180"/>
  <c r="S71" i="180" s="1" a="1"/>
  <c r="S71" i="180" s="1"/>
  <c r="R71" i="180"/>
  <c r="Q72" i="180"/>
  <c r="S72" i="180" s="1" a="1"/>
  <c r="S72" i="180" s="1"/>
  <c r="R72" i="180"/>
  <c r="Q73" i="180"/>
  <c r="S73" i="180" s="1" a="1"/>
  <c r="S73" i="180" s="1"/>
  <c r="R73" i="180"/>
  <c r="Q74" i="180"/>
  <c r="S74" i="180" s="1" a="1"/>
  <c r="S74" i="180" s="1"/>
  <c r="R74" i="180"/>
  <c r="Q75" i="180"/>
  <c r="S75" i="180" s="1" a="1"/>
  <c r="S75" i="180" s="1"/>
  <c r="R75" i="180"/>
  <c r="Q76" i="180"/>
  <c r="S76" i="180" s="1" a="1"/>
  <c r="S76" i="180" s="1"/>
  <c r="R76" i="180"/>
  <c r="Q77" i="180"/>
  <c r="S77" i="180" s="1" a="1"/>
  <c r="S77" i="180" s="1"/>
  <c r="R77" i="180"/>
  <c r="Q78" i="180"/>
  <c r="S78" i="180" s="1" a="1"/>
  <c r="S78" i="180" s="1"/>
  <c r="R78" i="180"/>
  <c r="Q79" i="180"/>
  <c r="S79" i="180" s="1" a="1"/>
  <c r="S79" i="180" s="1"/>
  <c r="R79" i="180"/>
  <c r="Q80" i="180"/>
  <c r="S80" i="180" s="1" a="1"/>
  <c r="S80" i="180" s="1"/>
  <c r="R80" i="180"/>
  <c r="Q81" i="180"/>
  <c r="S81" i="180" s="1" a="1"/>
  <c r="S81" i="180" s="1"/>
  <c r="R81" i="180"/>
  <c r="Q82" i="180"/>
  <c r="S82" i="180" s="1" a="1"/>
  <c r="S82" i="180" s="1"/>
  <c r="R82" i="180"/>
  <c r="Q83" i="180"/>
  <c r="S83" i="180" s="1" a="1"/>
  <c r="S83" i="180" s="1"/>
  <c r="R83" i="180"/>
  <c r="Q84" i="180"/>
  <c r="S84" i="180" s="1" a="1"/>
  <c r="S84" i="180" s="1"/>
  <c r="R84" i="180"/>
  <c r="Q85" i="180"/>
  <c r="S85" i="180" s="1" a="1"/>
  <c r="S85" i="180" s="1"/>
  <c r="R85" i="180"/>
  <c r="Q86" i="180"/>
  <c r="S86" i="180" s="1" a="1"/>
  <c r="S86" i="180" s="1"/>
  <c r="R86" i="180"/>
  <c r="Q87" i="180"/>
  <c r="S87" i="180" s="1" a="1"/>
  <c r="S87" i="180" s="1"/>
  <c r="R87" i="180"/>
  <c r="Q88" i="180"/>
  <c r="S88" i="180" s="1" a="1"/>
  <c r="S88" i="180" s="1"/>
  <c r="R88" i="180"/>
  <c r="Q89" i="180"/>
  <c r="S89" i="180" s="1" a="1"/>
  <c r="S89" i="180" s="1"/>
  <c r="R89" i="180"/>
  <c r="Q90" i="180"/>
  <c r="S90" i="180" s="1" a="1"/>
  <c r="S90" i="180" s="1"/>
  <c r="R90" i="180"/>
  <c r="Q91" i="180"/>
  <c r="S91" i="180" s="1" a="1"/>
  <c r="S91" i="180" s="1"/>
  <c r="R91" i="180"/>
  <c r="Q16" i="180"/>
  <c r="S16" i="180" s="1" a="1"/>
  <c r="S16" i="180" s="1"/>
  <c r="R16" i="180"/>
  <c r="Q17" i="180"/>
  <c r="S17" i="180" s="1" a="1"/>
  <c r="S17" i="180" s="1"/>
  <c r="R17" i="180"/>
  <c r="Q18" i="180"/>
  <c r="S18" i="180" s="1" a="1"/>
  <c r="S18" i="180" s="1"/>
  <c r="R18" i="180"/>
  <c r="Q19" i="180"/>
  <c r="S19" i="180" s="1" a="1"/>
  <c r="S19" i="180" s="1"/>
  <c r="R19" i="180"/>
  <c r="Q20" i="180"/>
  <c r="S20" i="180" s="1" a="1"/>
  <c r="S20" i="180" s="1"/>
  <c r="R20" i="180"/>
  <c r="Q21" i="180"/>
  <c r="S21" i="180" s="1" a="1"/>
  <c r="S21" i="180" s="1"/>
  <c r="R21"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J28" i="180"/>
  <c r="K28" i="180"/>
  <c r="L28" i="180"/>
  <c r="M28" i="180"/>
  <c r="N28" i="180"/>
  <c r="I29" i="180"/>
  <c r="J29" i="180"/>
  <c r="K29" i="180"/>
  <c r="L29" i="180"/>
  <c r="M29" i="180"/>
  <c r="N29" i="180"/>
  <c r="N16" i="180"/>
  <c r="M16" i="180"/>
  <c r="L16" i="180"/>
  <c r="K16" i="180"/>
  <c r="J16" i="180"/>
  <c r="I16" i="180"/>
  <c r="N15" i="180"/>
  <c r="M15" i="180"/>
  <c r="L15" i="180"/>
  <c r="K15" i="180"/>
  <c r="J15" i="180"/>
  <c r="I15" i="180"/>
  <c r="B22" i="180"/>
  <c r="C22" i="180"/>
  <c r="B26" i="180"/>
  <c r="C26" i="180"/>
  <c r="B27" i="180"/>
  <c r="C27" i="180"/>
  <c r="B28" i="180"/>
  <c r="C28" i="180"/>
  <c r="B29" i="180"/>
  <c r="C29" i="180"/>
  <c r="B16" i="180"/>
  <c r="C16" i="180"/>
  <c r="B17" i="180"/>
  <c r="C17" i="180"/>
  <c r="B18" i="180"/>
  <c r="C18" i="180"/>
  <c r="B19" i="180"/>
  <c r="C19" i="180"/>
  <c r="B20" i="180"/>
  <c r="C20" i="180"/>
  <c r="B21" i="180"/>
  <c r="C21" i="180"/>
  <c r="B23" i="180"/>
  <c r="C23" i="180"/>
  <c r="B24" i="180"/>
  <c r="C24" i="180"/>
  <c r="B25" i="180"/>
  <c r="C25" i="180"/>
  <c r="E4" i="180"/>
  <c r="E7" i="180" s="1"/>
  <c r="B18" i="181" s="1"/>
  <c r="E3" i="180"/>
  <c r="E6" i="180" s="1"/>
  <c r="B17" i="181" s="1"/>
  <c r="E4" i="176"/>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N16" i="182"/>
  <c r="M16" i="182"/>
  <c r="L16" i="182"/>
  <c r="K16" i="182"/>
  <c r="J16" i="182"/>
  <c r="I16" i="182"/>
  <c r="N15" i="182"/>
  <c r="M15" i="182"/>
  <c r="L15" i="182"/>
  <c r="K15" i="182"/>
  <c r="J15" i="182"/>
  <c r="I15" i="182"/>
  <c r="B201" i="177"/>
  <c r="Q17" i="182"/>
  <c r="S17" i="182" s="1" a="1"/>
  <c r="S17" i="182" s="1"/>
  <c r="B206" i="177" s="1"/>
  <c r="R17" i="182"/>
  <c r="Q18" i="182"/>
  <c r="S18" i="182" s="1" a="1"/>
  <c r="S18" i="182" s="1"/>
  <c r="B207" i="177" s="1"/>
  <c r="R18" i="182"/>
  <c r="Q19" i="182"/>
  <c r="S19" i="182" s="1" a="1"/>
  <c r="S19" i="182" s="1"/>
  <c r="B208" i="177" s="1"/>
  <c r="R19" i="182"/>
  <c r="Q20" i="182"/>
  <c r="S20" i="182" s="1" a="1"/>
  <c r="S20" i="182" s="1"/>
  <c r="B209" i="177" s="1"/>
  <c r="R20" i="182"/>
  <c r="Q21" i="182"/>
  <c r="R21" i="182"/>
  <c r="Q22" i="182"/>
  <c r="R22" i="182"/>
  <c r="Q23" i="182"/>
  <c r="S23" i="182" s="1" a="1"/>
  <c r="S23" i="182" s="1"/>
  <c r="B212" i="177" s="1"/>
  <c r="R23" i="182"/>
  <c r="Q24" i="182"/>
  <c r="S24" i="182" s="1" a="1"/>
  <c r="S24" i="182" s="1"/>
  <c r="B213" i="177" s="1"/>
  <c r="R24" i="182"/>
  <c r="Q25" i="182"/>
  <c r="S25" i="182" s="1" a="1"/>
  <c r="S25" i="182" s="1"/>
  <c r="B214" i="177" s="1"/>
  <c r="R25" i="182"/>
  <c r="Q26" i="182"/>
  <c r="S26" i="182" s="1" a="1"/>
  <c r="S26" i="182" s="1"/>
  <c r="B215" i="177" s="1"/>
  <c r="R26" i="182"/>
  <c r="Q27" i="182"/>
  <c r="S27" i="182" s="1" a="1"/>
  <c r="S27" i="182" s="1"/>
  <c r="B216" i="177" s="1"/>
  <c r="R27" i="182"/>
  <c r="Q28" i="182"/>
  <c r="S28" i="182" s="1" a="1"/>
  <c r="S28" i="182" s="1"/>
  <c r="B217" i="177" s="1"/>
  <c r="R28" i="182"/>
  <c r="Q29" i="182"/>
  <c r="R29" i="182"/>
  <c r="Q30" i="182"/>
  <c r="S30" i="182" s="1" a="1"/>
  <c r="S30" i="182" s="1"/>
  <c r="B219" i="177" s="1"/>
  <c r="R30" i="182"/>
  <c r="Q31" i="182"/>
  <c r="S31" i="182" s="1" a="1"/>
  <c r="S31" i="182" s="1"/>
  <c r="B220" i="177" s="1"/>
  <c r="R31" i="182"/>
  <c r="Q32" i="182"/>
  <c r="S32" i="182" s="1" a="1"/>
  <c r="S32" i="182" s="1"/>
  <c r="B221" i="177" s="1"/>
  <c r="R32" i="182"/>
  <c r="Q33" i="182"/>
  <c r="S33" i="182" s="1" a="1"/>
  <c r="S33" i="182" s="1"/>
  <c r="B222" i="177" s="1"/>
  <c r="R33" i="182"/>
  <c r="Q34" i="182"/>
  <c r="R34" i="182"/>
  <c r="Q35" i="182"/>
  <c r="R35" i="182"/>
  <c r="Q36" i="182"/>
  <c r="S36" i="182" s="1" a="1"/>
  <c r="S36" i="182" s="1"/>
  <c r="B225" i="177" s="1"/>
  <c r="R36" i="182"/>
  <c r="Q37" i="182"/>
  <c r="S37" i="182" s="1" a="1"/>
  <c r="S37" i="182" s="1"/>
  <c r="B226" i="177" s="1"/>
  <c r="R37" i="182"/>
  <c r="Q38" i="182"/>
  <c r="S38" i="182" s="1" a="1"/>
  <c r="S38" i="182" s="1"/>
  <c r="B227" i="177" s="1"/>
  <c r="R38" i="182"/>
  <c r="Q39" i="182"/>
  <c r="S39" i="182" s="1" a="1"/>
  <c r="S39" i="182" s="1"/>
  <c r="B228" i="177" s="1"/>
  <c r="R39" i="182"/>
  <c r="Q40" i="182"/>
  <c r="S40" i="182" s="1" a="1"/>
  <c r="S40" i="182" s="1"/>
  <c r="B229" i="177" s="1"/>
  <c r="R40" i="182"/>
  <c r="Q41" i="182"/>
  <c r="S41" i="182" s="1" a="1"/>
  <c r="S41" i="182" s="1"/>
  <c r="B230" i="177" s="1"/>
  <c r="R41" i="182"/>
  <c r="Q42" i="182"/>
  <c r="R42" i="182"/>
  <c r="Q43" i="182"/>
  <c r="S43" i="182" s="1" a="1"/>
  <c r="S43" i="182" s="1"/>
  <c r="B232" i="177" s="1"/>
  <c r="R43" i="182"/>
  <c r="Q44" i="182"/>
  <c r="S44" i="182" s="1" a="1"/>
  <c r="S44" i="182" s="1"/>
  <c r="B233" i="177" s="1"/>
  <c r="R44" i="182"/>
  <c r="Q45" i="182"/>
  <c r="S45" i="182" s="1" a="1"/>
  <c r="S45" i="182" s="1"/>
  <c r="B234" i="177" s="1"/>
  <c r="R45" i="182"/>
  <c r="Q46" i="182"/>
  <c r="S46" i="182" s="1" a="1"/>
  <c r="S46" i="182" s="1"/>
  <c r="B235" i="177" s="1"/>
  <c r="R46" i="182"/>
  <c r="Q47" i="182"/>
  <c r="S47" i="182" s="1" a="1"/>
  <c r="S47" i="182" s="1"/>
  <c r="B236" i="177" s="1"/>
  <c r="R47" i="182"/>
  <c r="Q48" i="182"/>
  <c r="S48" i="182" s="1" a="1"/>
  <c r="S48" i="182" s="1"/>
  <c r="B237" i="177" s="1"/>
  <c r="R48" i="182"/>
  <c r="Q49" i="182"/>
  <c r="R49" i="182"/>
  <c r="Q50" i="182"/>
  <c r="R50" i="182"/>
  <c r="Q51" i="182"/>
  <c r="S51" i="182" s="1" a="1"/>
  <c r="S51" i="182" s="1"/>
  <c r="B240" i="177" s="1"/>
  <c r="R51" i="182"/>
  <c r="Q52" i="182"/>
  <c r="S52" i="182" s="1" a="1"/>
  <c r="S52" i="182" s="1"/>
  <c r="B241" i="177" s="1"/>
  <c r="R52" i="182"/>
  <c r="Q53" i="182"/>
  <c r="S53" i="182" s="1" a="1"/>
  <c r="S53" i="182" s="1"/>
  <c r="B242" i="177" s="1"/>
  <c r="R53" i="182"/>
  <c r="Q54" i="182"/>
  <c r="S54" i="182" s="1" a="1"/>
  <c r="S54" i="182" s="1"/>
  <c r="B243" i="177" s="1"/>
  <c r="R54" i="182"/>
  <c r="Q55" i="182"/>
  <c r="S55" i="182" s="1" a="1"/>
  <c r="S55" i="182" s="1"/>
  <c r="B244" i="177" s="1"/>
  <c r="R55" i="182"/>
  <c r="Q56" i="182"/>
  <c r="S56" i="182" s="1" a="1"/>
  <c r="S56" i="182" s="1"/>
  <c r="B245" i="177" s="1"/>
  <c r="R56" i="182"/>
  <c r="Q57" i="182"/>
  <c r="S57" i="182" s="1" a="1"/>
  <c r="S57" i="182" s="1"/>
  <c r="B246" i="177" s="1"/>
  <c r="R57" i="182"/>
  <c r="Q58" i="182"/>
  <c r="S58" i="182" s="1" a="1"/>
  <c r="S58" i="182" s="1"/>
  <c r="R58" i="182"/>
  <c r="Q59" i="182"/>
  <c r="S59" i="182" s="1" a="1"/>
  <c r="S59" i="182" s="1"/>
  <c r="R59" i="182"/>
  <c r="Q60" i="182"/>
  <c r="S60" i="182" s="1" a="1"/>
  <c r="S60" i="182" s="1"/>
  <c r="R60" i="182"/>
  <c r="Q61" i="182"/>
  <c r="S61" i="182" s="1" a="1"/>
  <c r="S61" i="182" s="1"/>
  <c r="R61" i="182"/>
  <c r="Q62" i="182"/>
  <c r="S62" i="182" s="1" a="1"/>
  <c r="S62" i="182" s="1"/>
  <c r="R62" i="182"/>
  <c r="Q63" i="182"/>
  <c r="S63" i="182" s="1" a="1"/>
  <c r="S63" i="182" s="1"/>
  <c r="R63" i="182"/>
  <c r="Q64" i="182"/>
  <c r="S64" i="182" s="1" a="1"/>
  <c r="S64" i="182" s="1"/>
  <c r="R64" i="182"/>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S73" i="182" s="1" a="1"/>
  <c r="S73" i="182" s="1"/>
  <c r="R73" i="182"/>
  <c r="Q74" i="182"/>
  <c r="S74" i="182" s="1" a="1"/>
  <c r="S74" i="182" s="1"/>
  <c r="R74" i="182"/>
  <c r="Q75" i="182"/>
  <c r="S75" i="182" s="1" a="1"/>
  <c r="S75" i="182" s="1"/>
  <c r="R75" i="182"/>
  <c r="Q76" i="182"/>
  <c r="S76" i="182" s="1" a="1"/>
  <c r="S76" i="182" s="1"/>
  <c r="R76" i="182"/>
  <c r="Q77" i="182"/>
  <c r="S77" i="182" s="1" a="1"/>
  <c r="S77" i="182" s="1"/>
  <c r="R77" i="182"/>
  <c r="Q78" i="182"/>
  <c r="S78" i="182" s="1" a="1"/>
  <c r="S78" i="182" s="1"/>
  <c r="R78" i="182"/>
  <c r="Q79" i="182"/>
  <c r="S79" i="182" s="1" a="1"/>
  <c r="S79" i="182" s="1"/>
  <c r="R79" i="182"/>
  <c r="Q80" i="182"/>
  <c r="S80" i="182" s="1" a="1"/>
  <c r="S80" i="182" s="1"/>
  <c r="R80" i="182"/>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S89" i="182" s="1" a="1"/>
  <c r="S89" i="182" s="1"/>
  <c r="R89" i="182"/>
  <c r="Q90" i="182"/>
  <c r="S90" i="182" s="1" a="1"/>
  <c r="S90" i="182" s="1"/>
  <c r="R90" i="182"/>
  <c r="Q91" i="182"/>
  <c r="S91" i="182" s="1" a="1"/>
  <c r="S91" i="182" s="1"/>
  <c r="R91" i="182"/>
  <c r="Q92" i="182"/>
  <c r="S92" i="182" s="1" a="1"/>
  <c r="S92" i="182" s="1"/>
  <c r="R92" i="182"/>
  <c r="Q93" i="182"/>
  <c r="S93" i="182" s="1" a="1"/>
  <c r="S93" i="182" s="1"/>
  <c r="R93" i="182"/>
  <c r="Q94" i="182"/>
  <c r="S94" i="182" s="1" a="1"/>
  <c r="S94" i="182" s="1"/>
  <c r="R94" i="182"/>
  <c r="Q95" i="182"/>
  <c r="S95" i="182" s="1" a="1"/>
  <c r="S95" i="182" s="1"/>
  <c r="R95" i="182"/>
  <c r="Q96" i="182"/>
  <c r="S96" i="182" s="1" a="1"/>
  <c r="S96" i="182" s="1"/>
  <c r="R96" i="182"/>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S105" i="182" s="1" a="1"/>
  <c r="S105" i="182" s="1"/>
  <c r="R105" i="182"/>
  <c r="Q106" i="182"/>
  <c r="S106" i="182" s="1" a="1"/>
  <c r="S106" i="182" s="1"/>
  <c r="R106" i="182"/>
  <c r="Q107" i="182"/>
  <c r="S107" i="182" s="1" a="1"/>
  <c r="S107" i="182" s="1"/>
  <c r="R107" i="182"/>
  <c r="Q108" i="182"/>
  <c r="S108" i="182" s="1" a="1"/>
  <c r="S108" i="182" s="1"/>
  <c r="R108" i="182"/>
  <c r="Q109" i="182"/>
  <c r="S109" i="182" s="1" a="1"/>
  <c r="S109" i="182" s="1"/>
  <c r="R109" i="182"/>
  <c r="Q110" i="182"/>
  <c r="S110" i="182" s="1" a="1"/>
  <c r="S110" i="182" s="1"/>
  <c r="R110" i="182"/>
  <c r="Q111" i="182"/>
  <c r="S111" i="182" s="1" a="1"/>
  <c r="S111" i="182" s="1"/>
  <c r="R111" i="182"/>
  <c r="Q112" i="182"/>
  <c r="S112" i="182" s="1" a="1"/>
  <c r="S112" i="182" s="1"/>
  <c r="R112" i="182"/>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S121" i="182" s="1" a="1"/>
  <c r="S121" i="182" s="1"/>
  <c r="R121" i="182"/>
  <c r="Q122" i="182"/>
  <c r="S122" i="182" s="1" a="1"/>
  <c r="S122" i="182" s="1"/>
  <c r="R122" i="182"/>
  <c r="Q123" i="182"/>
  <c r="S123" i="182" s="1" a="1"/>
  <c r="S123" i="182" s="1"/>
  <c r="R123" i="182"/>
  <c r="Q124" i="182"/>
  <c r="S124" i="182" s="1" a="1"/>
  <c r="S124" i="182" s="1"/>
  <c r="R124" i="182"/>
  <c r="Q125" i="182"/>
  <c r="S125" i="182" s="1" a="1"/>
  <c r="S125" i="182" s="1"/>
  <c r="R125" i="182"/>
  <c r="Q126" i="182"/>
  <c r="S126" i="182" s="1" a="1"/>
  <c r="S126" i="182" s="1"/>
  <c r="R126" i="182"/>
  <c r="Q127" i="182"/>
  <c r="S127" i="182" s="1" a="1"/>
  <c r="S127" i="182" s="1"/>
  <c r="R127" i="182"/>
  <c r="Q128" i="182"/>
  <c r="S128" i="182" s="1" a="1"/>
  <c r="R128" i="182"/>
  <c r="S128" i="182"/>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S137" i="182" s="1" a="1"/>
  <c r="S137" i="182" s="1"/>
  <c r="R137" i="182"/>
  <c r="Q138" i="182"/>
  <c r="S138" i="182" s="1" a="1"/>
  <c r="S138" i="182" s="1"/>
  <c r="R138" i="182"/>
  <c r="Q139" i="182"/>
  <c r="S139" i="182" s="1" a="1"/>
  <c r="S139" i="182" s="1"/>
  <c r="R139" i="182"/>
  <c r="Q140" i="182"/>
  <c r="S140" i="182" s="1" a="1"/>
  <c r="S140" i="182" s="1"/>
  <c r="R140" i="182"/>
  <c r="Q141" i="182"/>
  <c r="S141" i="182" s="1" a="1"/>
  <c r="S141" i="182" s="1"/>
  <c r="R141" i="182"/>
  <c r="Q142" i="182"/>
  <c r="S142" i="182" s="1" a="1"/>
  <c r="S142" i="182" s="1"/>
  <c r="R142" i="182"/>
  <c r="Q143" i="182"/>
  <c r="S143" i="182" s="1" a="1"/>
  <c r="S143" i="182" s="1"/>
  <c r="R143" i="182"/>
  <c r="Q144" i="182"/>
  <c r="S144" i="182" s="1" a="1"/>
  <c r="S144" i="182" s="1"/>
  <c r="R144" i="182"/>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S153" i="182" s="1" a="1"/>
  <c r="S153" i="182" s="1"/>
  <c r="R153" i="182"/>
  <c r="Q154" i="182"/>
  <c r="S154" i="182" s="1" a="1"/>
  <c r="S154" i="182" s="1"/>
  <c r="R154" i="182"/>
  <c r="B14" i="182"/>
  <c r="C15" i="182"/>
  <c r="C16" i="182"/>
  <c r="R170" i="182"/>
  <c r="Q170" i="182"/>
  <c r="S170" i="182" s="1" a="1"/>
  <c r="S170" i="182" s="1"/>
  <c r="R169" i="182"/>
  <c r="Q169" i="182"/>
  <c r="S169" i="182" s="1" a="1"/>
  <c r="S169" i="182" s="1"/>
  <c r="R168" i="182"/>
  <c r="Q168" i="182"/>
  <c r="R167" i="182"/>
  <c r="Q167" i="182"/>
  <c r="R166" i="182"/>
  <c r="Q166" i="182"/>
  <c r="R165" i="182"/>
  <c r="Q165" i="182"/>
  <c r="R164" i="182"/>
  <c r="Q164" i="182"/>
  <c r="S164" i="182" s="1" a="1"/>
  <c r="S164" i="182" s="1"/>
  <c r="R163" i="182"/>
  <c r="Q163" i="182"/>
  <c r="R162" i="182"/>
  <c r="Q162" i="182"/>
  <c r="R161" i="182"/>
  <c r="Q161" i="182"/>
  <c r="R160" i="182"/>
  <c r="Q160" i="182"/>
  <c r="R159" i="182"/>
  <c r="Q159" i="182"/>
  <c r="R158" i="182"/>
  <c r="Q158" i="182"/>
  <c r="R157" i="182"/>
  <c r="Q157" i="182"/>
  <c r="R156" i="182"/>
  <c r="Q156" i="182"/>
  <c r="R155" i="182"/>
  <c r="Q155" i="182"/>
  <c r="C20" i="182"/>
  <c r="C19" i="182"/>
  <c r="C18" i="182"/>
  <c r="C17" i="182"/>
  <c r="R16" i="182"/>
  <c r="Q16" i="182"/>
  <c r="R15" i="182"/>
  <c r="Q15" i="182"/>
  <c r="E7" i="182"/>
  <c r="B202" i="177" s="1"/>
  <c r="E3" i="182"/>
  <c r="E6" i="182" s="1"/>
  <c r="G2" i="177"/>
  <c r="B116" i="177"/>
  <c r="Q105" i="176"/>
  <c r="R105" i="176"/>
  <c r="S105" i="176" a="1"/>
  <c r="S105" i="176" s="1"/>
  <c r="B110" i="177" s="1"/>
  <c r="Q106" i="176"/>
  <c r="R106" i="176"/>
  <c r="S106" i="176" s="1" a="1"/>
  <c r="S106" i="176" s="1"/>
  <c r="B111" i="177" s="1"/>
  <c r="Q107" i="176"/>
  <c r="R107" i="176"/>
  <c r="S107" i="176" a="1"/>
  <c r="S107" i="176" s="1"/>
  <c r="B112" i="177" s="1"/>
  <c r="Q108" i="176"/>
  <c r="R108" i="176"/>
  <c r="S108" i="176" s="1" a="1"/>
  <c r="S108" i="176" s="1"/>
  <c r="B113" i="177" s="1"/>
  <c r="Q109" i="176"/>
  <c r="R109" i="176"/>
  <c r="S109" i="176" a="1"/>
  <c r="S109" i="176" s="1"/>
  <c r="B114" i="177" s="1"/>
  <c r="Q110" i="176"/>
  <c r="R110" i="176"/>
  <c r="S110" i="176" s="1" a="1"/>
  <c r="S110" i="176" s="1"/>
  <c r="B115" i="177" s="1"/>
  <c r="Q111" i="176"/>
  <c r="R111" i="176"/>
  <c r="S111" i="176" a="1"/>
  <c r="S111" i="176" s="1"/>
  <c r="Q112" i="176"/>
  <c r="R112" i="176"/>
  <c r="S112" i="176" s="1" a="1"/>
  <c r="S112" i="176" s="1"/>
  <c r="B117" i="177" s="1"/>
  <c r="Q113" i="176"/>
  <c r="R113" i="176"/>
  <c r="S113" i="176" a="1"/>
  <c r="S113" i="176" s="1"/>
  <c r="B118" i="177" s="1"/>
  <c r="Q114" i="176"/>
  <c r="R114" i="176"/>
  <c r="S114" i="176" s="1" a="1"/>
  <c r="S114" i="176" s="1"/>
  <c r="B119" i="177" s="1"/>
  <c r="Q115" i="176"/>
  <c r="R115" i="176"/>
  <c r="S115" i="176" a="1"/>
  <c r="S115" i="176" s="1"/>
  <c r="B120" i="177" s="1"/>
  <c r="Q116" i="176"/>
  <c r="R116" i="176"/>
  <c r="S116" i="176" s="1" a="1"/>
  <c r="S116" i="176" s="1"/>
  <c r="B121" i="177" s="1"/>
  <c r="Q117" i="176"/>
  <c r="R117" i="176"/>
  <c r="S117" i="176" a="1"/>
  <c r="S117" i="176" s="1"/>
  <c r="B122" i="177" s="1"/>
  <c r="Q118" i="176"/>
  <c r="R118" i="176"/>
  <c r="S118" i="176" s="1" a="1"/>
  <c r="S118" i="176" s="1"/>
  <c r="B123" i="177" s="1"/>
  <c r="Q119" i="176"/>
  <c r="R119" i="176"/>
  <c r="S119" i="176" a="1"/>
  <c r="S119" i="176" s="1"/>
  <c r="B124" i="177" s="1"/>
  <c r="Q120" i="176"/>
  <c r="R120" i="176"/>
  <c r="S120" i="176" s="1" a="1"/>
  <c r="S120" i="176" s="1"/>
  <c r="B125" i="177" s="1"/>
  <c r="Q121" i="176"/>
  <c r="R121" i="176"/>
  <c r="S121" i="176" a="1"/>
  <c r="S121" i="176" s="1"/>
  <c r="B126" i="177" s="1"/>
  <c r="Q122" i="176"/>
  <c r="R122" i="176"/>
  <c r="S122" i="176" s="1" a="1"/>
  <c r="S122" i="176" s="1"/>
  <c r="B127" i="177" s="1"/>
  <c r="Q123" i="176"/>
  <c r="R123" i="176"/>
  <c r="S123" i="176" a="1"/>
  <c r="S123" i="176" s="1"/>
  <c r="B128" i="177" s="1"/>
  <c r="Q124" i="176"/>
  <c r="R124" i="176"/>
  <c r="S124" i="176" s="1" a="1"/>
  <c r="S124" i="176" s="1"/>
  <c r="B129" i="177" s="1"/>
  <c r="Q125" i="176"/>
  <c r="R125" i="176"/>
  <c r="S125" i="176" a="1"/>
  <c r="S125" i="176" s="1"/>
  <c r="B130" i="177" s="1"/>
  <c r="Q126" i="176"/>
  <c r="R126" i="176"/>
  <c r="S126" i="176" s="1" a="1"/>
  <c r="S126" i="176" s="1"/>
  <c r="B131" i="177" s="1"/>
  <c r="Q127" i="176"/>
  <c r="R127" i="176"/>
  <c r="S127" i="176" a="1"/>
  <c r="S127" i="176" s="1"/>
  <c r="B132" i="177" s="1"/>
  <c r="Q128" i="176"/>
  <c r="R128" i="176"/>
  <c r="Q129" i="176"/>
  <c r="R129" i="176"/>
  <c r="S129" i="176" a="1"/>
  <c r="S129" i="176" s="1"/>
  <c r="B134" i="177" s="1"/>
  <c r="Q130" i="176"/>
  <c r="R130" i="176"/>
  <c r="S130" i="176" s="1" a="1"/>
  <c r="S130" i="176" s="1"/>
  <c r="B135" i="177" s="1"/>
  <c r="Q131" i="176"/>
  <c r="R131" i="176"/>
  <c r="S131" i="176" a="1"/>
  <c r="S131" i="176" s="1"/>
  <c r="B136" i="177" s="1"/>
  <c r="Q132" i="176"/>
  <c r="R132" i="176"/>
  <c r="S132" i="176" s="1" a="1"/>
  <c r="S132" i="176" s="1"/>
  <c r="B137" i="177" s="1"/>
  <c r="Q133" i="176"/>
  <c r="R133" i="176"/>
  <c r="S133" i="176" a="1"/>
  <c r="S133" i="176" s="1"/>
  <c r="B138" i="177" s="1"/>
  <c r="Q134" i="176"/>
  <c r="R134" i="176"/>
  <c r="S134" i="176" s="1" a="1"/>
  <c r="S134" i="176" s="1"/>
  <c r="B139" i="177" s="1"/>
  <c r="Q135" i="176"/>
  <c r="R135" i="176"/>
  <c r="S135" i="176" a="1"/>
  <c r="S135" i="176" s="1"/>
  <c r="B140" i="177" s="1"/>
  <c r="Q136" i="176"/>
  <c r="R136" i="176"/>
  <c r="S136" i="176" s="1" a="1"/>
  <c r="S136" i="176" s="1"/>
  <c r="B141" i="177" s="1"/>
  <c r="Q137" i="176"/>
  <c r="R137" i="176"/>
  <c r="S137" i="176" a="1"/>
  <c r="S137" i="176" s="1"/>
  <c r="B142" i="177" s="1"/>
  <c r="Q138" i="176"/>
  <c r="R138" i="176"/>
  <c r="S138" i="176" s="1" a="1"/>
  <c r="S138" i="176" s="1"/>
  <c r="B143" i="177" s="1"/>
  <c r="Q139" i="176"/>
  <c r="S139" i="176" s="1" a="1"/>
  <c r="S139" i="176" s="1"/>
  <c r="B144" i="177" s="1"/>
  <c r="R139" i="176"/>
  <c r="Q140" i="176"/>
  <c r="R140" i="176"/>
  <c r="S140" i="176" s="1" a="1"/>
  <c r="S140" i="176" s="1"/>
  <c r="B145" i="177" s="1"/>
  <c r="Q141" i="176"/>
  <c r="S141" i="176" s="1" a="1"/>
  <c r="S141" i="176" s="1"/>
  <c r="B146" i="177" s="1"/>
  <c r="R141" i="176"/>
  <c r="Q142" i="176"/>
  <c r="R142" i="176"/>
  <c r="S142" i="176" s="1" a="1"/>
  <c r="S142" i="176" s="1"/>
  <c r="B147" i="177" s="1"/>
  <c r="Q143" i="176"/>
  <c r="S143" i="176" s="1" a="1"/>
  <c r="S143" i="176" s="1"/>
  <c r="B148" i="177" s="1"/>
  <c r="R143" i="176"/>
  <c r="Q144" i="176"/>
  <c r="R144" i="176"/>
  <c r="S144" i="176" s="1" a="1"/>
  <c r="S144" i="176" s="1"/>
  <c r="B149" i="177" s="1"/>
  <c r="Q145" i="176"/>
  <c r="S145" i="176" s="1" a="1"/>
  <c r="S145" i="176" s="1"/>
  <c r="B150" i="177" s="1"/>
  <c r="R145" i="176"/>
  <c r="Q146" i="176"/>
  <c r="R146" i="176"/>
  <c r="S146" i="176" s="1" a="1"/>
  <c r="S146" i="176" s="1"/>
  <c r="B151" i="177" s="1"/>
  <c r="Q147" i="176"/>
  <c r="S147" i="176" s="1" a="1"/>
  <c r="S147" i="176" s="1"/>
  <c r="B152" i="177" s="1"/>
  <c r="R147" i="176"/>
  <c r="Q148" i="176"/>
  <c r="R148" i="176"/>
  <c r="S148" i="176" s="1" a="1"/>
  <c r="S148" i="176" s="1"/>
  <c r="B153" i="177" s="1"/>
  <c r="Q149" i="176"/>
  <c r="S149" i="176" s="1" a="1"/>
  <c r="S149" i="176" s="1"/>
  <c r="B154" i="177" s="1"/>
  <c r="R149" i="176"/>
  <c r="Q150" i="176"/>
  <c r="R150" i="176"/>
  <c r="S150" i="176" s="1" a="1"/>
  <c r="S150" i="176" s="1"/>
  <c r="B155" i="177" s="1"/>
  <c r="Q151" i="176"/>
  <c r="S151" i="176" s="1" a="1"/>
  <c r="S151" i="176" s="1"/>
  <c r="B156" i="177" s="1"/>
  <c r="R151" i="176"/>
  <c r="Q152" i="176"/>
  <c r="R152" i="176"/>
  <c r="S152" i="176" s="1" a="1"/>
  <c r="S152" i="176" s="1"/>
  <c r="B157" i="177" s="1"/>
  <c r="Q153" i="176"/>
  <c r="S153" i="176" s="1" a="1"/>
  <c r="S153" i="176" s="1"/>
  <c r="B158" i="177" s="1"/>
  <c r="R153" i="176"/>
  <c r="Q154" i="176"/>
  <c r="R154" i="176"/>
  <c r="S154" i="176" s="1" a="1"/>
  <c r="S154" i="176" s="1"/>
  <c r="B159" i="177" s="1"/>
  <c r="Q155" i="176"/>
  <c r="S155" i="176" s="1" a="1"/>
  <c r="S155" i="176" s="1"/>
  <c r="B160" i="177" s="1"/>
  <c r="R155" i="176"/>
  <c r="Q156" i="176"/>
  <c r="R156" i="176"/>
  <c r="S156" i="176" s="1" a="1"/>
  <c r="S156" i="176" s="1"/>
  <c r="B161" i="177" s="1"/>
  <c r="Q157" i="176"/>
  <c r="S157" i="176" s="1" a="1"/>
  <c r="S157" i="176" s="1"/>
  <c r="B162" i="177" s="1"/>
  <c r="R157" i="176"/>
  <c r="Q158" i="176"/>
  <c r="R158" i="176"/>
  <c r="S158" i="176" s="1" a="1"/>
  <c r="S158" i="176" s="1"/>
  <c r="B163" i="177" s="1"/>
  <c r="Q159" i="176"/>
  <c r="S159" i="176" s="1" a="1"/>
  <c r="S159" i="176" s="1"/>
  <c r="B164" i="177" s="1"/>
  <c r="R159" i="176"/>
  <c r="Q160" i="176"/>
  <c r="R160" i="176"/>
  <c r="S160" i="176" s="1" a="1"/>
  <c r="S160" i="176" s="1"/>
  <c r="B165" i="177" s="1"/>
  <c r="Q161" i="176"/>
  <c r="S161" i="176" s="1" a="1"/>
  <c r="S161" i="176" s="1"/>
  <c r="B166" i="177" s="1"/>
  <c r="R161" i="176"/>
  <c r="Q162" i="176"/>
  <c r="R162" i="176"/>
  <c r="S162" i="176" s="1" a="1"/>
  <c r="S162" i="176" s="1"/>
  <c r="B167" i="177" s="1"/>
  <c r="Q163" i="176"/>
  <c r="S163" i="176" s="1" a="1"/>
  <c r="S163" i="176" s="1"/>
  <c r="B168" i="177" s="1"/>
  <c r="R163" i="176"/>
  <c r="Q164" i="176"/>
  <c r="R164" i="176"/>
  <c r="S164" i="176" s="1" a="1"/>
  <c r="S164" i="176" s="1"/>
  <c r="B169" i="177" s="1"/>
  <c r="Q165" i="176"/>
  <c r="S165" i="176" s="1" a="1"/>
  <c r="S165" i="176" s="1"/>
  <c r="B170" i="177" s="1"/>
  <c r="R165" i="176"/>
  <c r="Q166" i="176"/>
  <c r="R166" i="176"/>
  <c r="S166" i="176" s="1" a="1"/>
  <c r="S166" i="176" s="1"/>
  <c r="B171" i="177" s="1"/>
  <c r="Q167" i="176"/>
  <c r="S167" i="176" s="1" a="1"/>
  <c r="S167" i="176" s="1"/>
  <c r="B172" i="177" s="1"/>
  <c r="R167" i="176"/>
  <c r="Q168" i="176"/>
  <c r="R168" i="176"/>
  <c r="S168" i="176" s="1" a="1"/>
  <c r="S168" i="176" s="1"/>
  <c r="B173" i="177" s="1"/>
  <c r="Q169" i="176"/>
  <c r="S169" i="176" s="1" a="1"/>
  <c r="S169" i="176" s="1"/>
  <c r="B174" i="177" s="1"/>
  <c r="R169" i="176"/>
  <c r="Q170" i="176"/>
  <c r="R170" i="176"/>
  <c r="S170" i="176" s="1" a="1"/>
  <c r="S170" i="176" s="1"/>
  <c r="B175" i="177" s="1"/>
  <c r="Q171" i="176"/>
  <c r="S171" i="176" s="1" a="1"/>
  <c r="S171" i="176" s="1"/>
  <c r="B176" i="177" s="1"/>
  <c r="R171" i="176"/>
  <c r="Q172" i="176"/>
  <c r="R172" i="176"/>
  <c r="S172" i="176" s="1" a="1"/>
  <c r="S172" i="176" s="1"/>
  <c r="B177" i="177" s="1"/>
  <c r="Q173" i="176"/>
  <c r="S173" i="176" s="1" a="1"/>
  <c r="S173" i="176" s="1"/>
  <c r="B178" i="177" s="1"/>
  <c r="R173" i="176"/>
  <c r="Q174" i="176"/>
  <c r="R174" i="176"/>
  <c r="S174" i="176" s="1" a="1"/>
  <c r="S174" i="176" s="1"/>
  <c r="B179" i="177" s="1"/>
  <c r="Q175" i="176"/>
  <c r="S175" i="176" s="1" a="1"/>
  <c r="S175" i="176" s="1"/>
  <c r="B180" i="177" s="1"/>
  <c r="R175" i="176"/>
  <c r="Q176" i="176"/>
  <c r="R176" i="176"/>
  <c r="S176" i="176" s="1" a="1"/>
  <c r="S176" i="176" s="1"/>
  <c r="B181" i="177" s="1"/>
  <c r="Q177" i="176"/>
  <c r="S177" i="176" s="1" a="1"/>
  <c r="S177" i="176" s="1"/>
  <c r="B182" i="177" s="1"/>
  <c r="R177" i="176"/>
  <c r="Q178" i="176"/>
  <c r="R178" i="176"/>
  <c r="S178" i="176" s="1" a="1"/>
  <c r="S178" i="176" s="1"/>
  <c r="B183" i="177" s="1"/>
  <c r="Q179" i="176"/>
  <c r="S179" i="176" s="1" a="1"/>
  <c r="S179" i="176" s="1"/>
  <c r="B184" i="177" s="1"/>
  <c r="R179" i="176"/>
  <c r="Q180" i="176"/>
  <c r="R180" i="176"/>
  <c r="S180" i="176" s="1" a="1"/>
  <c r="S180" i="176" s="1"/>
  <c r="B185" i="177" s="1"/>
  <c r="Q181" i="176"/>
  <c r="S181" i="176" s="1" a="1"/>
  <c r="S181" i="176" s="1"/>
  <c r="B186" i="177" s="1"/>
  <c r="R181" i="176"/>
  <c r="Q182" i="176"/>
  <c r="R182" i="176"/>
  <c r="S182" i="176" s="1" a="1"/>
  <c r="S182" i="176" s="1"/>
  <c r="B187" i="177" s="1"/>
  <c r="Q183" i="176"/>
  <c r="S183" i="176" s="1" a="1"/>
  <c r="S183" i="176" s="1"/>
  <c r="B188" i="177" s="1"/>
  <c r="R183" i="176"/>
  <c r="Q184" i="176"/>
  <c r="R184" i="176"/>
  <c r="S184" i="176" s="1" a="1"/>
  <c r="S184" i="176" s="1"/>
  <c r="B189" i="177" s="1"/>
  <c r="Q185" i="176"/>
  <c r="S185" i="176" s="1" a="1"/>
  <c r="S185" i="176" s="1"/>
  <c r="B190" i="177" s="1"/>
  <c r="R185" i="176"/>
  <c r="Q186" i="176"/>
  <c r="R186" i="176"/>
  <c r="S186" i="176" s="1" a="1"/>
  <c r="S186" i="176" s="1"/>
  <c r="B191" i="177" s="1"/>
  <c r="Q187" i="176"/>
  <c r="S187" i="176" s="1" a="1"/>
  <c r="S187" i="176" s="1"/>
  <c r="B192" i="177" s="1"/>
  <c r="R187" i="176"/>
  <c r="Q188" i="176"/>
  <c r="R188" i="176"/>
  <c r="S188" i="176" s="1" a="1"/>
  <c r="S188" i="176" s="1"/>
  <c r="B193" i="177" s="1"/>
  <c r="Q189" i="176"/>
  <c r="S189" i="176" s="1" a="1"/>
  <c r="S189" i="176" s="1"/>
  <c r="B194" i="177" s="1"/>
  <c r="R189" i="176"/>
  <c r="Q190" i="176"/>
  <c r="R190" i="176"/>
  <c r="S190" i="176" s="1" a="1"/>
  <c r="S190" i="176" s="1"/>
  <c r="Q191" i="176"/>
  <c r="S191" i="176" s="1" a="1"/>
  <c r="S191" i="176" s="1"/>
  <c r="R191" i="176"/>
  <c r="Q192" i="176"/>
  <c r="R192" i="176"/>
  <c r="S192" i="176" s="1" a="1"/>
  <c r="S192" i="176" s="1"/>
  <c r="Q53" i="176"/>
  <c r="R53" i="176"/>
  <c r="S53" i="176" a="1"/>
  <c r="S53" i="176" s="1"/>
  <c r="B58" i="177" s="1"/>
  <c r="Q54" i="176"/>
  <c r="R54" i="176"/>
  <c r="S54" i="176" a="1"/>
  <c r="S54" i="176" s="1"/>
  <c r="B59" i="177" s="1"/>
  <c r="Q55" i="176"/>
  <c r="R55" i="176"/>
  <c r="S55" i="176" a="1"/>
  <c r="S55" i="176" s="1"/>
  <c r="B60" i="177" s="1"/>
  <c r="Q56" i="176"/>
  <c r="S56" i="176" s="1" a="1"/>
  <c r="S56" i="176" s="1"/>
  <c r="B61" i="177" s="1"/>
  <c r="R56" i="176"/>
  <c r="Q57" i="176"/>
  <c r="R57" i="176"/>
  <c r="S57" i="176" a="1"/>
  <c r="S57" i="176" s="1"/>
  <c r="B62" i="177" s="1"/>
  <c r="Q58" i="176"/>
  <c r="R58" i="176"/>
  <c r="S58" i="176" a="1"/>
  <c r="S58" i="176" s="1"/>
  <c r="B63" i="177" s="1"/>
  <c r="Q59" i="176"/>
  <c r="R59" i="176"/>
  <c r="S59" i="176" a="1"/>
  <c r="S59" i="176" s="1"/>
  <c r="B64" i="177" s="1"/>
  <c r="Q60" i="176"/>
  <c r="R60" i="176"/>
  <c r="S60" i="176" a="1"/>
  <c r="S60" i="176" s="1"/>
  <c r="B65" i="177" s="1"/>
  <c r="Q61" i="176"/>
  <c r="R61" i="176"/>
  <c r="S61" i="176" a="1"/>
  <c r="S61" i="176" s="1"/>
  <c r="B66" i="177" s="1"/>
  <c r="Q62" i="176"/>
  <c r="R62" i="176"/>
  <c r="Q63" i="176"/>
  <c r="R63" i="176"/>
  <c r="S63" i="176" a="1"/>
  <c r="S63" i="176" s="1"/>
  <c r="B68" i="177" s="1"/>
  <c r="Q64" i="176"/>
  <c r="R64" i="176"/>
  <c r="S64" i="176" a="1"/>
  <c r="S64" i="176" s="1"/>
  <c r="B69" i="177" s="1"/>
  <c r="Q65" i="176"/>
  <c r="R65" i="176"/>
  <c r="S65" i="176" a="1"/>
  <c r="S65" i="176" s="1"/>
  <c r="B70" i="177" s="1"/>
  <c r="Q66" i="176"/>
  <c r="R66" i="176"/>
  <c r="S66" i="176" a="1"/>
  <c r="S66" i="176" s="1"/>
  <c r="B71" i="177" s="1"/>
  <c r="Q67" i="176"/>
  <c r="R67" i="176"/>
  <c r="S67" i="176" a="1"/>
  <c r="S67" i="176" s="1"/>
  <c r="B72" i="177" s="1"/>
  <c r="Q68" i="176"/>
  <c r="R68" i="176"/>
  <c r="Q69" i="176"/>
  <c r="R69" i="176"/>
  <c r="S69" i="176" a="1"/>
  <c r="S69" i="176" s="1"/>
  <c r="B74" i="177" s="1"/>
  <c r="Q70" i="176"/>
  <c r="R70" i="176"/>
  <c r="S70" i="176" a="1"/>
  <c r="S70" i="176" s="1"/>
  <c r="B75" i="177" s="1"/>
  <c r="Q71" i="176"/>
  <c r="R71" i="176"/>
  <c r="S71" i="176" a="1"/>
  <c r="S71" i="176" s="1"/>
  <c r="B76" i="177" s="1"/>
  <c r="Q72" i="176"/>
  <c r="R72" i="176"/>
  <c r="S72" i="176" a="1"/>
  <c r="S72" i="176" s="1"/>
  <c r="B77" i="177" s="1"/>
  <c r="Q73" i="176"/>
  <c r="R73" i="176"/>
  <c r="S73" i="176" a="1"/>
  <c r="S73" i="176" s="1"/>
  <c r="B78" i="177" s="1"/>
  <c r="Q74" i="176"/>
  <c r="R74" i="176"/>
  <c r="Q75" i="176"/>
  <c r="R75" i="176"/>
  <c r="S75" i="176" a="1"/>
  <c r="S75" i="176" s="1"/>
  <c r="B80" i="177" s="1"/>
  <c r="Q76" i="176"/>
  <c r="R76" i="176"/>
  <c r="S76" i="176" a="1"/>
  <c r="S76" i="176" s="1"/>
  <c r="B81" i="177" s="1"/>
  <c r="Q77" i="176"/>
  <c r="R77" i="176"/>
  <c r="S77" i="176" a="1"/>
  <c r="S77" i="176" s="1"/>
  <c r="B82" i="177" s="1"/>
  <c r="Q78" i="176"/>
  <c r="R78" i="176"/>
  <c r="S78" i="176" a="1"/>
  <c r="S78" i="176" s="1"/>
  <c r="B83" i="177" s="1"/>
  <c r="Q79" i="176"/>
  <c r="R79" i="176"/>
  <c r="S79" i="176" a="1"/>
  <c r="S79" i="176" s="1"/>
  <c r="B84" i="177" s="1"/>
  <c r="Q80" i="176"/>
  <c r="R80" i="176"/>
  <c r="Q81" i="176"/>
  <c r="R81" i="176"/>
  <c r="S81" i="176" a="1"/>
  <c r="S81" i="176" s="1"/>
  <c r="B86" i="177" s="1"/>
  <c r="Q82" i="176"/>
  <c r="R82" i="176"/>
  <c r="S82" i="176" a="1"/>
  <c r="S82" i="176" s="1"/>
  <c r="B87" i="177" s="1"/>
  <c r="Q83" i="176"/>
  <c r="R83" i="176"/>
  <c r="S83" i="176" a="1"/>
  <c r="S83" i="176" s="1"/>
  <c r="B88" i="177" s="1"/>
  <c r="Q84" i="176"/>
  <c r="R84" i="176"/>
  <c r="S84" i="176" a="1"/>
  <c r="S84" i="176" s="1"/>
  <c r="B89" i="177" s="1"/>
  <c r="Q85" i="176"/>
  <c r="R85" i="176"/>
  <c r="S85" i="176" a="1"/>
  <c r="S85" i="176" s="1"/>
  <c r="B90" i="177" s="1"/>
  <c r="Q86" i="176"/>
  <c r="R86" i="176"/>
  <c r="S86" i="176" a="1"/>
  <c r="S86" i="176" s="1"/>
  <c r="B91" i="177" s="1"/>
  <c r="Q87" i="176"/>
  <c r="R87" i="176"/>
  <c r="S87" i="176" a="1"/>
  <c r="S87" i="176" s="1"/>
  <c r="B92" i="177" s="1"/>
  <c r="Q88" i="176"/>
  <c r="R88" i="176"/>
  <c r="S88" i="176" a="1"/>
  <c r="S88" i="176" s="1"/>
  <c r="B93" i="177" s="1"/>
  <c r="Q89" i="176"/>
  <c r="R89" i="176"/>
  <c r="S89" i="176" a="1"/>
  <c r="S89" i="176" s="1"/>
  <c r="B94" i="177" s="1"/>
  <c r="Q90" i="176"/>
  <c r="R90" i="176"/>
  <c r="S90" i="176" a="1"/>
  <c r="S90" i="176" s="1"/>
  <c r="B95" i="177" s="1"/>
  <c r="Q91" i="176"/>
  <c r="R91" i="176"/>
  <c r="S91" i="176" a="1"/>
  <c r="S91" i="176" s="1"/>
  <c r="B96" i="177" s="1"/>
  <c r="Q92" i="176"/>
  <c r="R92" i="176"/>
  <c r="Q93" i="176"/>
  <c r="R93" i="176"/>
  <c r="S93" i="176" a="1"/>
  <c r="S93" i="176" s="1"/>
  <c r="B98" i="177" s="1"/>
  <c r="Q94" i="176"/>
  <c r="R94" i="176"/>
  <c r="S94" i="176" a="1"/>
  <c r="S94" i="176" s="1"/>
  <c r="B99" i="177" s="1"/>
  <c r="Q95" i="176"/>
  <c r="R95" i="176"/>
  <c r="S95" i="176" a="1"/>
  <c r="S95" i="176" s="1"/>
  <c r="B100" i="177" s="1"/>
  <c r="Q96" i="176"/>
  <c r="R96" i="176"/>
  <c r="S96" i="176" a="1"/>
  <c r="S96" i="176" s="1"/>
  <c r="B101" i="177" s="1"/>
  <c r="Q97" i="176"/>
  <c r="R97" i="176"/>
  <c r="S97" i="176" a="1"/>
  <c r="S97" i="176" s="1"/>
  <c r="B102" i="177" s="1"/>
  <c r="Q98" i="176"/>
  <c r="R98" i="176"/>
  <c r="S98" i="176" a="1"/>
  <c r="S98" i="176" s="1"/>
  <c r="B103" i="177" s="1"/>
  <c r="Q99" i="176"/>
  <c r="R99" i="176"/>
  <c r="S99" i="176" a="1"/>
  <c r="S99" i="176" s="1"/>
  <c r="B104" i="177" s="1"/>
  <c r="Q100" i="176"/>
  <c r="R100" i="176"/>
  <c r="S100" i="176" a="1"/>
  <c r="S100" i="176" s="1"/>
  <c r="B105" i="177" s="1"/>
  <c r="Q101" i="176"/>
  <c r="R101" i="176"/>
  <c r="S101" i="176" a="1"/>
  <c r="S101" i="176" s="1"/>
  <c r="B106" i="177" s="1"/>
  <c r="Q102" i="176"/>
  <c r="R102" i="176"/>
  <c r="S102" i="176" a="1"/>
  <c r="S102" i="176" s="1"/>
  <c r="B107" i="177" s="1"/>
  <c r="Q103" i="176"/>
  <c r="R103" i="176"/>
  <c r="S103" i="176" a="1"/>
  <c r="S103" i="176" s="1"/>
  <c r="B108" i="177" s="1"/>
  <c r="Q104" i="176"/>
  <c r="R104" i="176"/>
  <c r="S104" i="176" a="1"/>
  <c r="S104" i="176" s="1"/>
  <c r="B109" i="177" s="1"/>
  <c r="Q40" i="176"/>
  <c r="S40" i="176" s="1" a="1"/>
  <c r="S40" i="176" s="1"/>
  <c r="B45" i="177" s="1"/>
  <c r="R40" i="176"/>
  <c r="Q41" i="176"/>
  <c r="R41" i="176"/>
  <c r="Q42" i="176"/>
  <c r="R42" i="176"/>
  <c r="Q43" i="176"/>
  <c r="R43" i="176"/>
  <c r="Q44" i="176"/>
  <c r="S44" i="176" s="1" a="1"/>
  <c r="S44" i="176" s="1"/>
  <c r="B49" i="177" s="1"/>
  <c r="R44" i="176"/>
  <c r="Q45" i="176"/>
  <c r="R45" i="176"/>
  <c r="S45" i="176" a="1"/>
  <c r="S45" i="176" s="1"/>
  <c r="B50" i="177" s="1"/>
  <c r="Q46" i="176"/>
  <c r="S46" i="176" s="1" a="1"/>
  <c r="S46" i="176" s="1"/>
  <c r="B51" i="177" s="1"/>
  <c r="R46" i="176"/>
  <c r="Q47" i="176"/>
  <c r="R47" i="176"/>
  <c r="S47" i="176" a="1"/>
  <c r="S47" i="176" s="1"/>
  <c r="B52" i="177" s="1"/>
  <c r="Q48" i="176"/>
  <c r="S48" i="176" s="1" a="1"/>
  <c r="S48" i="176" s="1"/>
  <c r="B53" i="177" s="1"/>
  <c r="R48" i="176"/>
  <c r="Q49" i="176"/>
  <c r="R49" i="176"/>
  <c r="S49" i="176" a="1"/>
  <c r="S49" i="176" s="1"/>
  <c r="B54" i="177" s="1"/>
  <c r="Q50" i="176"/>
  <c r="S50" i="176" s="1" a="1"/>
  <c r="S50" i="176" s="1"/>
  <c r="B55" i="177" s="1"/>
  <c r="R50" i="176"/>
  <c r="Q51" i="176"/>
  <c r="R51" i="176"/>
  <c r="S51" i="176" a="1"/>
  <c r="S51" i="176" s="1"/>
  <c r="B56" i="177" s="1"/>
  <c r="Q52" i="176"/>
  <c r="S52" i="176" s="1" a="1"/>
  <c r="S52" i="176" s="1"/>
  <c r="B57" i="177" s="1"/>
  <c r="R52" i="176"/>
  <c r="Q23" i="176"/>
  <c r="S23" i="176" s="1" a="1"/>
  <c r="S23" i="176" s="1"/>
  <c r="B28" i="177" s="1"/>
  <c r="R23" i="176"/>
  <c r="Q24" i="176"/>
  <c r="S24" i="176" s="1" a="1"/>
  <c r="S24" i="176" s="1"/>
  <c r="B29" i="177" s="1"/>
  <c r="R24" i="176"/>
  <c r="Q25" i="176"/>
  <c r="S25" i="176" s="1" a="1"/>
  <c r="S25" i="176" s="1"/>
  <c r="B30" i="177" s="1"/>
  <c r="R25" i="176"/>
  <c r="Q26" i="176"/>
  <c r="S26" i="176" s="1" a="1"/>
  <c r="S26" i="176" s="1"/>
  <c r="B31" i="177" s="1"/>
  <c r="R26" i="176"/>
  <c r="Q27" i="176"/>
  <c r="S27" i="176" s="1" a="1"/>
  <c r="S27" i="176" s="1"/>
  <c r="B32" i="177" s="1"/>
  <c r="R27" i="176"/>
  <c r="Q28" i="176"/>
  <c r="S28" i="176" s="1" a="1"/>
  <c r="S28" i="176" s="1"/>
  <c r="B33" i="177" s="1"/>
  <c r="R28" i="176"/>
  <c r="Q29" i="176"/>
  <c r="R29" i="176"/>
  <c r="Q30" i="176"/>
  <c r="R30" i="176"/>
  <c r="Q31" i="176"/>
  <c r="R31" i="176"/>
  <c r="Q32" i="176"/>
  <c r="S32" i="176" s="1" a="1"/>
  <c r="S32" i="176" s="1"/>
  <c r="B37" i="177" s="1"/>
  <c r="R32" i="176"/>
  <c r="Q33" i="176"/>
  <c r="S33" i="176" s="1" a="1"/>
  <c r="S33" i="176" s="1"/>
  <c r="B38" i="177" s="1"/>
  <c r="R33" i="176"/>
  <c r="Q34" i="176"/>
  <c r="S34" i="176" s="1" a="1"/>
  <c r="S34" i="176" s="1"/>
  <c r="B39" i="177" s="1"/>
  <c r="R34" i="176"/>
  <c r="Q35" i="176"/>
  <c r="R35" i="176"/>
  <c r="Q36" i="176"/>
  <c r="S36" i="176" s="1" a="1"/>
  <c r="S36" i="176" s="1"/>
  <c r="B41" i="177" s="1"/>
  <c r="R36" i="176"/>
  <c r="Q37" i="176"/>
  <c r="R37" i="176"/>
  <c r="Q38" i="176"/>
  <c r="S38" i="176" s="1" a="1"/>
  <c r="S38" i="176" s="1"/>
  <c r="B43" i="177" s="1"/>
  <c r="R38" i="176"/>
  <c r="Q39" i="176"/>
  <c r="S39" i="176" s="1" a="1"/>
  <c r="S39" i="176" s="1"/>
  <c r="B44" i="177" s="1"/>
  <c r="R39" i="176"/>
  <c r="Q18" i="176"/>
  <c r="R18" i="176"/>
  <c r="S18" i="176" s="1" a="1"/>
  <c r="S18" i="176" s="1"/>
  <c r="B23" i="177" s="1"/>
  <c r="Q19" i="176"/>
  <c r="R19" i="176"/>
  <c r="S19" i="176" s="1" a="1"/>
  <c r="S19" i="176" s="1"/>
  <c r="B24" i="177" s="1"/>
  <c r="Q20" i="176"/>
  <c r="R20" i="176"/>
  <c r="S20" i="176" s="1" a="1"/>
  <c r="S20" i="176" s="1"/>
  <c r="B25" i="177" s="1"/>
  <c r="Q21" i="176"/>
  <c r="R21" i="176"/>
  <c r="S21" i="176" s="1" a="1"/>
  <c r="S21" i="176" s="1"/>
  <c r="B26" i="177" s="1"/>
  <c r="Q22" i="176"/>
  <c r="R22" i="176"/>
  <c r="S22" i="176" s="1" a="1"/>
  <c r="S22" i="176" s="1"/>
  <c r="B27" i="177" s="1"/>
  <c r="Q16" i="176"/>
  <c r="R16" i="176"/>
  <c r="S16" i="176" a="1"/>
  <c r="S16" i="176" s="1"/>
  <c r="B21" i="177" s="1"/>
  <c r="Q17" i="176"/>
  <c r="S17" i="176" s="1" a="1"/>
  <c r="S17" i="176" s="1"/>
  <c r="B22" i="177" s="1"/>
  <c r="R17" i="176"/>
  <c r="B40" i="176"/>
  <c r="I40" i="176" s="1"/>
  <c r="C40" i="176"/>
  <c r="I29" i="176"/>
  <c r="J29" i="176"/>
  <c r="K29" i="176"/>
  <c r="L29" i="176"/>
  <c r="M29" i="176"/>
  <c r="N29" i="176"/>
  <c r="I30" i="176"/>
  <c r="J30" i="176"/>
  <c r="K30" i="176"/>
  <c r="L30" i="176"/>
  <c r="M30" i="176"/>
  <c r="N30" i="176"/>
  <c r="I31" i="176"/>
  <c r="J31" i="176"/>
  <c r="K31" i="176"/>
  <c r="L31" i="176"/>
  <c r="M31" i="176"/>
  <c r="N31" i="176"/>
  <c r="I32" i="176"/>
  <c r="J32" i="176"/>
  <c r="K32" i="176"/>
  <c r="L32" i="176"/>
  <c r="M32" i="176"/>
  <c r="N32" i="176"/>
  <c r="I33" i="176"/>
  <c r="J33" i="176"/>
  <c r="K33" i="176"/>
  <c r="L33" i="176"/>
  <c r="M33" i="176"/>
  <c r="N33" i="176"/>
  <c r="I34" i="176"/>
  <c r="J34" i="176"/>
  <c r="K34" i="176"/>
  <c r="L34" i="176"/>
  <c r="M34" i="176"/>
  <c r="N34" i="176"/>
  <c r="I35" i="176"/>
  <c r="J35" i="176"/>
  <c r="K35" i="176"/>
  <c r="L35" i="176"/>
  <c r="M35" i="176"/>
  <c r="N35" i="176"/>
  <c r="I36" i="176"/>
  <c r="J36" i="176"/>
  <c r="K36" i="176"/>
  <c r="L36" i="176"/>
  <c r="M36" i="176"/>
  <c r="N36" i="176"/>
  <c r="I37" i="176"/>
  <c r="J37" i="176"/>
  <c r="K37" i="176"/>
  <c r="L37" i="176"/>
  <c r="M37" i="176"/>
  <c r="N37" i="176"/>
  <c r="I38" i="176"/>
  <c r="J38" i="176"/>
  <c r="K38" i="176"/>
  <c r="L38" i="176"/>
  <c r="M38" i="176"/>
  <c r="N38" i="176"/>
  <c r="I39" i="176"/>
  <c r="J39" i="176"/>
  <c r="K39" i="176"/>
  <c r="L39" i="176"/>
  <c r="M39" i="176"/>
  <c r="N39" i="176"/>
  <c r="J40" i="176"/>
  <c r="K40" i="176"/>
  <c r="L40" i="176"/>
  <c r="M40" i="176"/>
  <c r="N40" i="176"/>
  <c r="I41" i="176"/>
  <c r="J41" i="176"/>
  <c r="K41" i="176"/>
  <c r="L41" i="176"/>
  <c r="M41" i="176"/>
  <c r="N41" i="176"/>
  <c r="I42" i="176"/>
  <c r="J42" i="176"/>
  <c r="K42" i="176"/>
  <c r="L42" i="176"/>
  <c r="M42" i="176"/>
  <c r="N42" i="176"/>
  <c r="K16" i="176"/>
  <c r="L16" i="176"/>
  <c r="M16" i="176"/>
  <c r="K17" i="176"/>
  <c r="L17" i="176"/>
  <c r="M17" i="176"/>
  <c r="K18" i="176"/>
  <c r="L18" i="176"/>
  <c r="M18" i="176"/>
  <c r="I19" i="176"/>
  <c r="K19" i="176"/>
  <c r="S41" i="176" s="1" a="1"/>
  <c r="S41" i="176" s="1"/>
  <c r="B46" i="177" s="1"/>
  <c r="L19" i="176"/>
  <c r="M19" i="176"/>
  <c r="S43" i="176" s="1" a="1"/>
  <c r="S43" i="176" s="1"/>
  <c r="B48" i="177" s="1"/>
  <c r="J20" i="176"/>
  <c r="K20" i="176"/>
  <c r="L20" i="176"/>
  <c r="M20" i="176"/>
  <c r="K21" i="176"/>
  <c r="L21" i="176"/>
  <c r="M21" i="176"/>
  <c r="K22" i="176"/>
  <c r="L22" i="176"/>
  <c r="M22" i="176"/>
  <c r="J23" i="176"/>
  <c r="K23" i="176"/>
  <c r="L23" i="176"/>
  <c r="M23" i="176"/>
  <c r="K24" i="176"/>
  <c r="L24" i="176"/>
  <c r="M24" i="176"/>
  <c r="I25" i="176"/>
  <c r="J25" i="176"/>
  <c r="K25" i="176"/>
  <c r="L25" i="176"/>
  <c r="M25" i="176"/>
  <c r="K26" i="176"/>
  <c r="L26" i="176"/>
  <c r="M26" i="176"/>
  <c r="I27" i="176"/>
  <c r="K27" i="176"/>
  <c r="L27" i="176"/>
  <c r="M27" i="176"/>
  <c r="J28" i="176"/>
  <c r="K28" i="176"/>
  <c r="L28" i="176"/>
  <c r="M28" i="176"/>
  <c r="N17" i="176"/>
  <c r="N18" i="176"/>
  <c r="N19" i="176"/>
  <c r="N20" i="176"/>
  <c r="N21" i="176"/>
  <c r="N22" i="176"/>
  <c r="S62" i="176" s="1" a="1"/>
  <c r="S62" i="176" s="1"/>
  <c r="B67" i="177" s="1"/>
  <c r="N23" i="176"/>
  <c r="S68" i="176" s="1" a="1"/>
  <c r="S68" i="176" s="1"/>
  <c r="B73" i="177" s="1"/>
  <c r="N24" i="176"/>
  <c r="S74" i="176" s="1" a="1"/>
  <c r="S74" i="176" s="1"/>
  <c r="B79" i="177" s="1"/>
  <c r="N25" i="176"/>
  <c r="S80" i="176" s="1" a="1"/>
  <c r="S80" i="176" s="1"/>
  <c r="B85" i="177" s="1"/>
  <c r="N26" i="176"/>
  <c r="N27" i="176"/>
  <c r="S92" i="176" s="1" a="1"/>
  <c r="S92" i="176" s="1"/>
  <c r="B97" i="177" s="1"/>
  <c r="N28" i="176"/>
  <c r="B18" i="176"/>
  <c r="C18" i="176"/>
  <c r="J18" i="176" s="1"/>
  <c r="E7" i="176"/>
  <c r="B18" i="177" s="1"/>
  <c r="E3" i="176"/>
  <c r="E6" i="176" s="1"/>
  <c r="B17" i="177" s="1"/>
  <c r="B37" i="176"/>
  <c r="C37" i="176"/>
  <c r="B38" i="176"/>
  <c r="C38" i="176"/>
  <c r="B39" i="176"/>
  <c r="C39" i="176"/>
  <c r="B41" i="176"/>
  <c r="C41" i="176"/>
  <c r="B42" i="176"/>
  <c r="C42" i="176"/>
  <c r="B16" i="176"/>
  <c r="C16" i="176"/>
  <c r="J16" i="176" s="1"/>
  <c r="B17" i="176"/>
  <c r="I17" i="176" s="1"/>
  <c r="C17" i="176"/>
  <c r="J17" i="176" s="1"/>
  <c r="B19" i="176"/>
  <c r="C19" i="176"/>
  <c r="J19" i="176" s="1"/>
  <c r="B20" i="176"/>
  <c r="C20" i="176"/>
  <c r="B21" i="176"/>
  <c r="C21" i="176"/>
  <c r="J21" i="176" s="1"/>
  <c r="B22" i="176"/>
  <c r="I22" i="176" s="1"/>
  <c r="C22" i="176"/>
  <c r="J22" i="176" s="1"/>
  <c r="B23" i="176"/>
  <c r="C23" i="176"/>
  <c r="B24" i="176"/>
  <c r="C24" i="176"/>
  <c r="J24" i="176" s="1"/>
  <c r="B25" i="176"/>
  <c r="C25" i="176"/>
  <c r="B26" i="176"/>
  <c r="C26" i="176"/>
  <c r="J26" i="176" s="1"/>
  <c r="B27" i="176"/>
  <c r="C27" i="176"/>
  <c r="J27" i="176" s="1"/>
  <c r="B28" i="176"/>
  <c r="C28" i="176"/>
  <c r="B29" i="176"/>
  <c r="C29" i="176"/>
  <c r="B30" i="176"/>
  <c r="C30" i="176"/>
  <c r="B31" i="176"/>
  <c r="C31" i="176"/>
  <c r="B32" i="176"/>
  <c r="C32" i="176"/>
  <c r="B33" i="176"/>
  <c r="C33" i="176"/>
  <c r="B34" i="176"/>
  <c r="C34" i="176"/>
  <c r="B35" i="176"/>
  <c r="C35" i="176"/>
  <c r="B36" i="176"/>
  <c r="C36" i="176"/>
  <c r="B15" i="176"/>
  <c r="C9" i="179"/>
  <c r="C10" i="179"/>
  <c r="C11" i="179"/>
  <c r="C12" i="179"/>
  <c r="C13" i="179"/>
  <c r="C14" i="179"/>
  <c r="C15" i="179"/>
  <c r="C16" i="179"/>
  <c r="C17" i="179"/>
  <c r="C18" i="179"/>
  <c r="C19" i="179"/>
  <c r="C20" i="179"/>
  <c r="C21" i="179"/>
  <c r="C22" i="179"/>
  <c r="C23" i="179"/>
  <c r="C24" i="179"/>
  <c r="C25" i="179"/>
  <c r="I9" i="178"/>
  <c r="I10" i="178"/>
  <c r="I11" i="178"/>
  <c r="I12" i="178"/>
  <c r="I13" i="178"/>
  <c r="I14" i="178"/>
  <c r="I15" i="178"/>
  <c r="I16" i="178"/>
  <c r="I17" i="178"/>
  <c r="I18" i="178"/>
  <c r="I19" i="178"/>
  <c r="I20" i="178"/>
  <c r="I21" i="178"/>
  <c r="I22" i="178"/>
  <c r="I23" i="178"/>
  <c r="I24" i="178"/>
  <c r="I25" i="178"/>
  <c r="I26" i="178"/>
  <c r="B15" i="181"/>
  <c r="B14" i="181"/>
  <c r="B13" i="181"/>
  <c r="B12" i="181"/>
  <c r="B9" i="181"/>
  <c r="B8" i="181"/>
  <c r="B4" i="181"/>
  <c r="R15" i="180"/>
  <c r="Q15" i="180"/>
  <c r="C15" i="180"/>
  <c r="B15" i="180"/>
  <c r="B14" i="180"/>
  <c r="G2" i="179"/>
  <c r="C2" i="179"/>
  <c r="C1" i="179"/>
  <c r="I8" i="178"/>
  <c r="C8" i="179" s="1"/>
  <c r="I7" i="178"/>
  <c r="C7" i="179" s="1"/>
  <c r="I6" i="178"/>
  <c r="C6" i="179" s="1"/>
  <c r="I5" i="178"/>
  <c r="C5" i="179" s="1"/>
  <c r="I4" i="178"/>
  <c r="C4" i="179" s="1"/>
  <c r="I3" i="178"/>
  <c r="C3" i="179" s="1"/>
  <c r="I34" i="173"/>
  <c r="C34" i="175" s="1"/>
  <c r="I35" i="173"/>
  <c r="C35" i="175" s="1"/>
  <c r="I36" i="173"/>
  <c r="I37" i="173"/>
  <c r="I38" i="173"/>
  <c r="I39" i="173"/>
  <c r="I40" i="173"/>
  <c r="I41" i="173"/>
  <c r="I42" i="173"/>
  <c r="I43" i="173"/>
  <c r="I44" i="173"/>
  <c r="C17" i="175"/>
  <c r="C18" i="175"/>
  <c r="C19" i="175"/>
  <c r="C21" i="175"/>
  <c r="C36" i="175"/>
  <c r="C37" i="175"/>
  <c r="C9" i="175"/>
  <c r="C10" i="175"/>
  <c r="C11" i="175"/>
  <c r="C12" i="175"/>
  <c r="C13" i="175"/>
  <c r="C14" i="175"/>
  <c r="C15" i="175"/>
  <c r="C16" i="175"/>
  <c r="I28" i="173"/>
  <c r="C28" i="175" s="1"/>
  <c r="I29" i="173"/>
  <c r="C29" i="175" s="1"/>
  <c r="I30" i="173"/>
  <c r="C30" i="175" s="1"/>
  <c r="I31" i="173"/>
  <c r="C31" i="175" s="1"/>
  <c r="I32" i="173"/>
  <c r="C32" i="175" s="1"/>
  <c r="I33" i="173"/>
  <c r="C33" i="175" s="1"/>
  <c r="I19" i="173"/>
  <c r="I20" i="173"/>
  <c r="C20" i="175" s="1"/>
  <c r="I21" i="173"/>
  <c r="I22" i="173"/>
  <c r="C22" i="175" s="1"/>
  <c r="I23" i="173"/>
  <c r="C23" i="175" s="1"/>
  <c r="I24" i="173"/>
  <c r="C24" i="175" s="1"/>
  <c r="I25" i="173"/>
  <c r="C25" i="175" s="1"/>
  <c r="I26" i="173"/>
  <c r="C26" i="175" s="1"/>
  <c r="I27" i="173"/>
  <c r="C27" i="175" s="1"/>
  <c r="I13" i="173"/>
  <c r="I14" i="173"/>
  <c r="I15" i="173"/>
  <c r="I16" i="173"/>
  <c r="I17" i="173"/>
  <c r="I18" i="173"/>
  <c r="I9" i="173"/>
  <c r="I10" i="173"/>
  <c r="I11" i="173"/>
  <c r="I12" i="173"/>
  <c r="B15" i="177"/>
  <c r="B14" i="177"/>
  <c r="B13" i="177"/>
  <c r="B12" i="177"/>
  <c r="B9" i="177"/>
  <c r="B8" i="177"/>
  <c r="B4" i="177"/>
  <c r="N16" i="176"/>
  <c r="R15" i="176"/>
  <c r="Q15" i="176"/>
  <c r="N15" i="176"/>
  <c r="M15" i="176"/>
  <c r="L15" i="176"/>
  <c r="K15" i="176"/>
  <c r="C15" i="176"/>
  <c r="J15" i="176" s="1"/>
  <c r="B14" i="176"/>
  <c r="I16" i="176" s="1"/>
  <c r="G2" i="175"/>
  <c r="C2" i="175"/>
  <c r="C1" i="175"/>
  <c r="I8" i="173"/>
  <c r="C8" i="175" s="1"/>
  <c r="I7" i="173"/>
  <c r="C7" i="175" s="1"/>
  <c r="I6" i="173"/>
  <c r="C6" i="175" s="1"/>
  <c r="I5" i="173"/>
  <c r="C5" i="175" s="1"/>
  <c r="I4" i="173"/>
  <c r="C4" i="175" s="1"/>
  <c r="I3" i="173"/>
  <c r="C3" i="175" s="1"/>
  <c r="G2" i="73"/>
  <c r="C9" i="73"/>
  <c r="C11" i="73"/>
  <c r="C12" i="73"/>
  <c r="C13" i="73"/>
  <c r="C14" i="73"/>
  <c r="C15" i="73"/>
  <c r="C16" i="73"/>
  <c r="G27" i="108"/>
  <c r="G28" i="108"/>
  <c r="G9" i="108"/>
  <c r="G26" i="108"/>
  <c r="G14" i="108"/>
  <c r="G11" i="108"/>
  <c r="J11" i="108" s="1"/>
  <c r="L11" i="108" s="1"/>
  <c r="G12" i="108"/>
  <c r="G13" i="108"/>
  <c r="G10" i="108"/>
  <c r="L16" i="108"/>
  <c r="L17" i="108"/>
  <c r="L18" i="108"/>
  <c r="L19" i="108"/>
  <c r="L21" i="108"/>
  <c r="L22" i="108"/>
  <c r="L23" i="108"/>
  <c r="L24" i="108"/>
  <c r="L25" i="108"/>
  <c r="L29" i="108"/>
  <c r="L30" i="108"/>
  <c r="L31" i="108"/>
  <c r="L12" i="108"/>
  <c r="L15" i="108"/>
  <c r="J15" i="108"/>
  <c r="J16" i="108"/>
  <c r="J17" i="108"/>
  <c r="J18" i="108"/>
  <c r="J19" i="108"/>
  <c r="J20" i="108"/>
  <c r="L20" i="108" s="1"/>
  <c r="J21" i="108"/>
  <c r="J22" i="108"/>
  <c r="J23" i="108"/>
  <c r="J24" i="108"/>
  <c r="J25" i="108"/>
  <c r="J26" i="108"/>
  <c r="J27" i="108"/>
  <c r="J28" i="108"/>
  <c r="L28" i="108" s="1"/>
  <c r="J29" i="108"/>
  <c r="J30" i="108"/>
  <c r="J31" i="108"/>
  <c r="J9" i="108"/>
  <c r="L9" i="108" s="1"/>
  <c r="J10" i="108"/>
  <c r="J12" i="108"/>
  <c r="J13" i="108"/>
  <c r="L13" i="108" s="1"/>
  <c r="J14" i="108"/>
  <c r="K16" i="141"/>
  <c r="K17" i="141"/>
  <c r="K18" i="141"/>
  <c r="K19" i="141"/>
  <c r="K20" i="141"/>
  <c r="K21" i="141"/>
  <c r="S53" i="141" s="1" a="1"/>
  <c r="S53" i="141" s="1"/>
  <c r="B58" i="143" s="1"/>
  <c r="K22" i="141"/>
  <c r="K23" i="141"/>
  <c r="S65" i="141" s="1" a="1"/>
  <c r="S65" i="141" s="1"/>
  <c r="B70" i="143" s="1"/>
  <c r="K15" i="141"/>
  <c r="Q77" i="141"/>
  <c r="R77" i="141"/>
  <c r="Q78" i="141"/>
  <c r="R78" i="141"/>
  <c r="Q79" i="141"/>
  <c r="R79" i="141"/>
  <c r="Q80" i="141"/>
  <c r="S80" i="141" s="1" a="1"/>
  <c r="S80" i="141" s="1"/>
  <c r="R80" i="14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Q59" i="141"/>
  <c r="R59" i="141"/>
  <c r="Q60" i="141"/>
  <c r="R60" i="141"/>
  <c r="Q61" i="141"/>
  <c r="R61" i="141"/>
  <c r="Q62" i="141"/>
  <c r="R62" i="141"/>
  <c r="S62" i="141" s="1" a="1"/>
  <c r="S62" i="141" s="1"/>
  <c r="B67" i="143" s="1"/>
  <c r="Q63" i="141"/>
  <c r="R63" i="141"/>
  <c r="Q64" i="141"/>
  <c r="R64" i="141"/>
  <c r="Q65" i="141"/>
  <c r="R65" i="141"/>
  <c r="S54" i="141" a="1"/>
  <c r="S54" i="141" s="1"/>
  <c r="B59" i="143" s="1"/>
  <c r="S55" i="141" a="1"/>
  <c r="S55" i="141" s="1"/>
  <c r="B60" i="143" s="1"/>
  <c r="S56" i="141" a="1"/>
  <c r="S56" i="141" s="1"/>
  <c r="B61" i="143" s="1"/>
  <c r="S59" i="141" a="1"/>
  <c r="S59" i="141" s="1"/>
  <c r="B64" i="143" s="1"/>
  <c r="S60" i="141" a="1"/>
  <c r="S60" i="141" s="1"/>
  <c r="B65" i="143" s="1"/>
  <c r="S61" i="141" a="1"/>
  <c r="S61" i="141" s="1"/>
  <c r="B66"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Q35" i="141"/>
  <c r="R35" i="141"/>
  <c r="S35" i="141" s="1" a="1"/>
  <c r="S35" i="141" s="1"/>
  <c r="B40" i="143" s="1"/>
  <c r="Q36" i="141"/>
  <c r="R36" i="141"/>
  <c r="Q37" i="141"/>
  <c r="R37" i="141"/>
  <c r="Q38" i="141"/>
  <c r="R38" i="141"/>
  <c r="S38" i="141" s="1" a="1"/>
  <c r="S38" i="141" s="1"/>
  <c r="B43" i="143" s="1"/>
  <c r="Q39" i="141"/>
  <c r="R39" i="141"/>
  <c r="Q40" i="141"/>
  <c r="R40" i="141"/>
  <c r="Q41" i="141"/>
  <c r="R41" i="141"/>
  <c r="Q42" i="141"/>
  <c r="R42" i="141"/>
  <c r="S42" i="141" s="1" a="1"/>
  <c r="S42" i="141" s="1"/>
  <c r="B47" i="143" s="1"/>
  <c r="Q43" i="141"/>
  <c r="R43" i="141"/>
  <c r="S43" i="141" s="1" a="1"/>
  <c r="S43" i="141" s="1"/>
  <c r="B48" i="143" s="1"/>
  <c r="Q44" i="141"/>
  <c r="R44" i="141"/>
  <c r="Q45" i="141"/>
  <c r="R45" i="141"/>
  <c r="Q46" i="141"/>
  <c r="R46" i="141"/>
  <c r="Q47" i="141"/>
  <c r="R47" i="141"/>
  <c r="S47" i="141" s="1" a="1"/>
  <c r="S47" i="141" s="1"/>
  <c r="B52" i="143" s="1"/>
  <c r="Q48" i="141"/>
  <c r="R48" i="141"/>
  <c r="Q49" i="141"/>
  <c r="R49" i="141"/>
  <c r="Q50" i="141"/>
  <c r="R50" i="141"/>
  <c r="S50" i="141" s="1" a="1"/>
  <c r="S50" i="141" s="1"/>
  <c r="B55" i="143" s="1"/>
  <c r="Q51" i="141"/>
  <c r="R51" i="141"/>
  <c r="Q52" i="141"/>
  <c r="R52" i="141"/>
  <c r="Q53" i="141"/>
  <c r="R53" i="141"/>
  <c r="Q54" i="141"/>
  <c r="R54" i="141"/>
  <c r="Q55" i="141"/>
  <c r="R55" i="141"/>
  <c r="S17" i="141" a="1"/>
  <c r="S17" i="141" s="1"/>
  <c r="S18" i="141" a="1"/>
  <c r="S18" i="141" s="1"/>
  <c r="S19" i="141" a="1"/>
  <c r="S19" i="141" s="1"/>
  <c r="S20" i="141" a="1"/>
  <c r="S20" i="141" s="1"/>
  <c r="B25" i="143" s="1"/>
  <c r="S23" i="141" a="1"/>
  <c r="S23" i="141" s="1"/>
  <c r="S24" i="141" a="1"/>
  <c r="S24" i="141" s="1"/>
  <c r="B29" i="143" s="1"/>
  <c r="S25" i="141" a="1"/>
  <c r="S25" i="141" s="1"/>
  <c r="B30" i="143" s="1"/>
  <c r="S29" i="141" a="1"/>
  <c r="S29" i="141" s="1"/>
  <c r="B34" i="143" s="1"/>
  <c r="S32" i="141" a="1"/>
  <c r="S32" i="141" s="1"/>
  <c r="B37" i="143" s="1"/>
  <c r="S36" i="141" a="1"/>
  <c r="S36" i="141" s="1"/>
  <c r="B41" i="143" s="1"/>
  <c r="S37" i="141" a="1"/>
  <c r="S37" i="141" s="1"/>
  <c r="B42" i="143" s="1"/>
  <c r="S41" i="141" a="1"/>
  <c r="S41" i="141" s="1"/>
  <c r="B46" i="143" s="1"/>
  <c r="S44" i="141" a="1"/>
  <c r="S44" i="141" s="1"/>
  <c r="B49" i="143" s="1"/>
  <c r="S48" i="141" a="1"/>
  <c r="S48" i="141" s="1"/>
  <c r="B53" i="143" s="1"/>
  <c r="S49" i="141" a="1"/>
  <c r="S49" i="141" s="1"/>
  <c r="B54" i="143" s="1"/>
  <c r="L16" i="141"/>
  <c r="M16" i="141"/>
  <c r="L17" i="141"/>
  <c r="M17" i="141"/>
  <c r="L18" i="141"/>
  <c r="M18" i="141"/>
  <c r="L19" i="141"/>
  <c r="M19" i="141"/>
  <c r="L20" i="141"/>
  <c r="M20" i="141"/>
  <c r="L21" i="141"/>
  <c r="M21" i="141"/>
  <c r="L22" i="141"/>
  <c r="M22" i="141"/>
  <c r="L23" i="141"/>
  <c r="M23" i="141"/>
  <c r="C16" i="141"/>
  <c r="J16" i="141" s="1"/>
  <c r="S22" i="141" s="1" a="1"/>
  <c r="S22" i="141" s="1"/>
  <c r="C17" i="141"/>
  <c r="J17" i="141" s="1"/>
  <c r="S28" i="141" s="1" a="1"/>
  <c r="S28" i="141" s="1"/>
  <c r="B33" i="143" s="1"/>
  <c r="C18" i="141"/>
  <c r="J18" i="141" s="1"/>
  <c r="C19" i="141"/>
  <c r="J19" i="141" s="1"/>
  <c r="S40" i="141" s="1" a="1"/>
  <c r="S40" i="141" s="1"/>
  <c r="B45" i="143" s="1"/>
  <c r="C20" i="141"/>
  <c r="J20" i="141" s="1"/>
  <c r="C21" i="141"/>
  <c r="J21" i="141" s="1"/>
  <c r="S52" i="141" s="1" a="1"/>
  <c r="S52" i="141" s="1"/>
  <c r="B57" i="143" s="1"/>
  <c r="C22" i="141"/>
  <c r="J22" i="141" s="1"/>
  <c r="C23" i="141"/>
  <c r="J23" i="141" s="1"/>
  <c r="S64" i="141" s="1" a="1"/>
  <c r="S64" i="141" s="1"/>
  <c r="B69" i="143" s="1"/>
  <c r="C15" i="141"/>
  <c r="J15" i="141" s="1"/>
  <c r="S16" i="141" s="1" a="1"/>
  <c r="S16" i="141" s="1"/>
  <c r="B16" i="141"/>
  <c r="B17" i="141"/>
  <c r="B18" i="141"/>
  <c r="B19" i="141"/>
  <c r="B20" i="141"/>
  <c r="B21" i="141"/>
  <c r="B22" i="141"/>
  <c r="B23" i="141"/>
  <c r="B15" i="141"/>
  <c r="B14" i="141"/>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S29" i="182" l="1" a="1"/>
  <c r="S29" i="182" s="1"/>
  <c r="B218" i="177" s="1"/>
  <c r="S35" i="182" a="1"/>
  <c r="S35" i="182" s="1"/>
  <c r="B224" i="177" s="1"/>
  <c r="S92" i="185" a="1"/>
  <c r="S92" i="185" s="1"/>
  <c r="S19" i="185" a="1"/>
  <c r="S19" i="185" s="1"/>
  <c r="S88" i="185" a="1"/>
  <c r="S88" i="185" s="1"/>
  <c r="S84" i="185" a="1"/>
  <c r="S84" i="185" s="1"/>
  <c r="S77" i="185" a="1"/>
  <c r="S77" i="185" s="1"/>
  <c r="S62" i="185" a="1"/>
  <c r="S62" i="185" s="1"/>
  <c r="S54" i="185" a="1"/>
  <c r="S54" i="185" s="1"/>
  <c r="S50" i="185" a="1"/>
  <c r="S50" i="185" s="1"/>
  <c r="S42" i="185" a="1"/>
  <c r="S42" i="185" s="1"/>
  <c r="S38" i="185" a="1"/>
  <c r="S38" i="185" s="1"/>
  <c r="S34" i="185" a="1"/>
  <c r="S34" i="185" s="1"/>
  <c r="S30" i="185" a="1"/>
  <c r="S30" i="185" s="1"/>
  <c r="S26" i="185" a="1"/>
  <c r="S26" i="185" s="1"/>
  <c r="S22" i="185" a="1"/>
  <c r="S22" i="185" s="1"/>
  <c r="S66" i="185" a="1"/>
  <c r="S66" i="185" s="1"/>
  <c r="I25" i="185"/>
  <c r="I21" i="185"/>
  <c r="S51" i="185" s="1" a="1"/>
  <c r="S51" i="185" s="1"/>
  <c r="I17" i="185"/>
  <c r="S27" i="185" s="1" a="1"/>
  <c r="S27" i="185" s="1"/>
  <c r="S80" i="185" a="1"/>
  <c r="S80" i="185" s="1"/>
  <c r="S73" i="185" a="1"/>
  <c r="S73" i="185" s="1"/>
  <c r="S69" i="185" a="1"/>
  <c r="S69" i="185" s="1"/>
  <c r="S18" i="185" a="1"/>
  <c r="S18" i="185" s="1"/>
  <c r="S39" i="185" a="1"/>
  <c r="S39" i="185" s="1"/>
  <c r="S83" i="185" a="1"/>
  <c r="S83" i="185" s="1"/>
  <c r="S76" i="185" a="1"/>
  <c r="S76" i="185" s="1"/>
  <c r="S65" i="185" a="1"/>
  <c r="S65" i="185" s="1"/>
  <c r="S61" i="185" a="1"/>
  <c r="S61" i="185" s="1"/>
  <c r="S57" i="185" a="1"/>
  <c r="S57" i="185" s="1"/>
  <c r="S53" i="185" a="1"/>
  <c r="S53" i="185" s="1"/>
  <c r="S49" i="185" a="1"/>
  <c r="S49" i="185" s="1"/>
  <c r="S45" i="185" a="1"/>
  <c r="S45" i="185" s="1"/>
  <c r="S41" i="185" a="1"/>
  <c r="S41" i="185" s="1"/>
  <c r="S37" i="185" a="1"/>
  <c r="S37" i="185" s="1"/>
  <c r="S29" i="185" a="1"/>
  <c r="S29" i="185" s="1"/>
  <c r="S25" i="185" a="1"/>
  <c r="S25" i="185" s="1"/>
  <c r="S21" i="185" a="1"/>
  <c r="S21" i="185" s="1"/>
  <c r="S70" i="185" a="1"/>
  <c r="S70" i="185" s="1"/>
  <c r="I26" i="185"/>
  <c r="I22" i="185"/>
  <c r="I18" i="185"/>
  <c r="S33" i="185" s="1" a="1"/>
  <c r="S33" i="185" s="1"/>
  <c r="S94" i="185" a="1"/>
  <c r="S94" i="185" s="1"/>
  <c r="S90" i="185" a="1"/>
  <c r="S90" i="185" s="1"/>
  <c r="S72" i="185" a="1"/>
  <c r="S72" i="185" s="1"/>
  <c r="S68" i="185" a="1"/>
  <c r="S68" i="185" s="1"/>
  <c r="S17" i="185" a="1"/>
  <c r="S17" i="185" s="1"/>
  <c r="S78" i="185" a="1"/>
  <c r="S78" i="185" s="1"/>
  <c r="S81" i="185" a="1"/>
  <c r="S81" i="185" s="1"/>
  <c r="S86" i="185" a="1"/>
  <c r="S86" i="185" s="1"/>
  <c r="S82" i="185" a="1"/>
  <c r="S82" i="185" s="1"/>
  <c r="S79" i="185" a="1"/>
  <c r="S79" i="185" s="1"/>
  <c r="S75" i="185" a="1"/>
  <c r="S75" i="185" s="1"/>
  <c r="S64" i="185" a="1"/>
  <c r="S64" i="185" s="1"/>
  <c r="S60" i="185" a="1"/>
  <c r="S60" i="185" s="1"/>
  <c r="S56" i="185" a="1"/>
  <c r="S56" i="185" s="1"/>
  <c r="S48" i="185" a="1"/>
  <c r="S48" i="185" s="1"/>
  <c r="S44" i="185" a="1"/>
  <c r="S44" i="185" s="1"/>
  <c r="S40" i="185" a="1"/>
  <c r="S40" i="185" s="1"/>
  <c r="S36" i="185" a="1"/>
  <c r="S36" i="185" s="1"/>
  <c r="S32" i="185" a="1"/>
  <c r="S32" i="185" s="1"/>
  <c r="S28" i="185" a="1"/>
  <c r="S28" i="185" s="1"/>
  <c r="S24" i="185" a="1"/>
  <c r="S24" i="185" s="1"/>
  <c r="S20" i="185" a="1"/>
  <c r="S20" i="185" s="1"/>
  <c r="I15" i="185"/>
  <c r="I23" i="185"/>
  <c r="S63" i="185" s="1" a="1"/>
  <c r="S63" i="185" s="1"/>
  <c r="S93" i="185" a="1"/>
  <c r="S93" i="185" s="1"/>
  <c r="S71" i="185" a="1"/>
  <c r="S71" i="185" s="1"/>
  <c r="S67" i="185" a="1"/>
  <c r="S67" i="185" s="1"/>
  <c r="S16" i="185" a="1"/>
  <c r="S16" i="185" s="1"/>
  <c r="I13" i="183"/>
  <c r="C13" i="184" s="1"/>
  <c r="I14" i="183"/>
  <c r="C14" i="184" s="1"/>
  <c r="C19" i="185"/>
  <c r="J19" i="185" s="1"/>
  <c r="C20" i="185"/>
  <c r="C21" i="185"/>
  <c r="C22" i="185"/>
  <c r="E6" i="185"/>
  <c r="B17" i="187" s="1"/>
  <c r="B15" i="187"/>
  <c r="E7" i="185"/>
  <c r="B18" i="187" s="1"/>
  <c r="S15" i="185" a="1"/>
  <c r="S15" i="185" s="1"/>
  <c r="B20" i="187" s="1"/>
  <c r="S42" i="176" a="1"/>
  <c r="S42" i="176" s="1"/>
  <c r="B47" i="177" s="1"/>
  <c r="S35" i="176" a="1"/>
  <c r="S35" i="176" s="1"/>
  <c r="B40" i="177" s="1"/>
  <c r="S37" i="176" a="1"/>
  <c r="S37" i="176" s="1"/>
  <c r="B42" i="177" s="1"/>
  <c r="S31" i="176" a="1"/>
  <c r="S31" i="176" s="1"/>
  <c r="B36" i="177" s="1"/>
  <c r="S30" i="176" a="1"/>
  <c r="S30" i="176" s="1"/>
  <c r="B35" i="177" s="1"/>
  <c r="S29" i="176" a="1"/>
  <c r="S29" i="176" s="1"/>
  <c r="B34" i="177" s="1"/>
  <c r="S50" i="182" a="1"/>
  <c r="S50" i="182" s="1"/>
  <c r="B239" i="177" s="1"/>
  <c r="S42" i="182" a="1"/>
  <c r="S42" i="182" s="1"/>
  <c r="B231" i="177" s="1"/>
  <c r="S34" i="182" a="1"/>
  <c r="S34" i="182" s="1"/>
  <c r="B223" i="177" s="1"/>
  <c r="S49" i="182" a="1"/>
  <c r="S49" i="182" s="1"/>
  <c r="B238" i="177" s="1"/>
  <c r="S22" i="182" a="1"/>
  <c r="S22" i="182" s="1"/>
  <c r="B211" i="177" s="1"/>
  <c r="S21" i="182" a="1"/>
  <c r="S21" i="182" s="1"/>
  <c r="B210" i="177" s="1"/>
  <c r="S128" i="176" a="1"/>
  <c r="S128" i="176" s="1"/>
  <c r="B133" i="177" s="1"/>
  <c r="S155" i="182" a="1"/>
  <c r="S155" i="182" s="1"/>
  <c r="S157" i="182" a="1"/>
  <c r="S157" i="182" s="1"/>
  <c r="S158" i="182" a="1"/>
  <c r="S158" i="182" s="1"/>
  <c r="S166" i="182" a="1"/>
  <c r="S166" i="182" s="1"/>
  <c r="S159" i="182" a="1"/>
  <c r="S159" i="182" s="1"/>
  <c r="S161" i="182" a="1"/>
  <c r="S161" i="182" s="1"/>
  <c r="S165" i="182" a="1"/>
  <c r="S165" i="182" s="1"/>
  <c r="S168" i="182" a="1"/>
  <c r="S168" i="182" s="1"/>
  <c r="S16" i="182" a="1"/>
  <c r="S16" i="182" s="1"/>
  <c r="B205" i="177" s="1"/>
  <c r="S162" i="182" a="1"/>
  <c r="S162" i="182" s="1"/>
  <c r="S160" i="182" a="1"/>
  <c r="S160" i="182" s="1"/>
  <c r="S163" i="182" a="1"/>
  <c r="S163" i="182" s="1"/>
  <c r="S156" i="182" a="1"/>
  <c r="S156" i="182" s="1"/>
  <c r="S167" i="182" a="1"/>
  <c r="S167" i="182" s="1"/>
  <c r="I28" i="176"/>
  <c r="I20" i="176"/>
  <c r="I23" i="176"/>
  <c r="I26" i="176"/>
  <c r="I18" i="176"/>
  <c r="I21" i="176"/>
  <c r="I24" i="176"/>
  <c r="S15" i="180" a="1"/>
  <c r="S15" i="180" s="1"/>
  <c r="B20" i="181" s="1"/>
  <c r="I15" i="176"/>
  <c r="S15" i="176" s="1" a="1"/>
  <c r="S15" i="176" s="1"/>
  <c r="B20" i="177" s="1"/>
  <c r="I20" i="141"/>
  <c r="S45" i="141" s="1" a="1"/>
  <c r="S45" i="141" s="1"/>
  <c r="B50" i="143" s="1"/>
  <c r="I17" i="141"/>
  <c r="S27" i="141" s="1" a="1"/>
  <c r="S27" i="141" s="1"/>
  <c r="B32" i="143" s="1"/>
  <c r="I19" i="141"/>
  <c r="I16" i="141"/>
  <c r="S21" i="141" s="1" a="1"/>
  <c r="S21" i="141" s="1"/>
  <c r="I23" i="141"/>
  <c r="S63" i="141" s="1" a="1"/>
  <c r="S63" i="141" s="1"/>
  <c r="B68" i="143" s="1"/>
  <c r="I22" i="141"/>
  <c r="S57" i="141" s="1" a="1"/>
  <c r="S57" i="141" s="1"/>
  <c r="B62" i="143" s="1"/>
  <c r="S34" i="141" a="1"/>
  <c r="S34" i="141" s="1"/>
  <c r="B39" i="143" s="1"/>
  <c r="I15" i="141"/>
  <c r="S15" i="141" s="1" a="1"/>
  <c r="S15" i="141" s="1"/>
  <c r="B20" i="143" s="1"/>
  <c r="I21" i="141"/>
  <c r="S51" i="141" s="1" a="1"/>
  <c r="S51" i="141" s="1"/>
  <c r="B56" i="143" s="1"/>
  <c r="I18" i="141"/>
  <c r="S33" i="141" s="1" a="1"/>
  <c r="S33" i="141" s="1"/>
  <c r="B38" i="143" s="1"/>
  <c r="S46" i="141" a="1"/>
  <c r="S46" i="141" s="1"/>
  <c r="B51" i="143" s="1"/>
  <c r="S39" i="141" a="1"/>
  <c r="S39" i="141" s="1"/>
  <c r="B44" i="143" s="1"/>
  <c r="S58" i="141" a="1"/>
  <c r="S58" i="141" s="1"/>
  <c r="B63" i="143" s="1"/>
  <c r="L27" i="108"/>
  <c r="L26" i="108"/>
  <c r="L14" i="108"/>
  <c r="L10" i="108"/>
  <c r="B23" i="143"/>
  <c r="B21" i="143"/>
  <c r="B24" i="143"/>
  <c r="B27" i="143"/>
  <c r="B22" i="143"/>
  <c r="B28" i="143"/>
  <c r="B26" i="143"/>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L36" i="108"/>
  <c r="L35" i="108"/>
  <c r="L34" i="108"/>
  <c r="L33" i="108"/>
  <c r="L32" i="108"/>
  <c r="L3" i="108"/>
  <c r="I14" i="12"/>
  <c r="I15" i="12"/>
  <c r="I16" i="12"/>
  <c r="I9" i="12"/>
  <c r="I10" i="12"/>
  <c r="C10" i="73" s="1"/>
  <c r="I11" i="12"/>
  <c r="I12" i="12"/>
  <c r="I13" i="12"/>
  <c r="J8" i="108"/>
  <c r="J7" i="108"/>
  <c r="J6" i="108"/>
  <c r="J5" i="108"/>
  <c r="J4" i="108"/>
  <c r="J3" i="108"/>
  <c r="I8" i="12"/>
  <c r="C8" i="73" s="1"/>
  <c r="I7" i="12"/>
  <c r="C7" i="73" s="1"/>
  <c r="I6" i="12"/>
  <c r="C6" i="73" s="1"/>
  <c r="C31" i="73"/>
  <c r="C30" i="73"/>
  <c r="C2" i="73"/>
  <c r="C1" i="73"/>
  <c r="C32" i="73"/>
  <c r="I3" i="12"/>
  <c r="C3" i="73" s="1"/>
  <c r="I5" i="12"/>
  <c r="C5" i="73" s="1"/>
  <c r="I4" i="12"/>
  <c r="C4" i="73" s="1"/>
  <c r="J22" i="185" l="1"/>
  <c r="S58" i="185" s="1" a="1"/>
  <c r="S58" i="185" s="1"/>
  <c r="J21" i="185"/>
  <c r="S52" i="185" s="1" a="1"/>
  <c r="S52" i="185" s="1"/>
  <c r="J20" i="185"/>
  <c r="S46" i="185" s="1" a="1"/>
  <c r="S46" i="185" s="1"/>
  <c r="S15" i="182" a="1"/>
  <c r="S15" i="182" s="1"/>
  <c r="B204" i="177" s="1"/>
  <c r="L8" i="10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<sst xmlns="http://schemas.openxmlformats.org/spreadsheetml/2006/main" count="1095" uniqueCount="641">
  <si>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</si>
  <si>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</si>
  <si>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</si>
  <si>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</si>
  <si>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</si>
  <si>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</si>
  <si>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</si>
  <si>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</si>
  <si>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</si>
  <si>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</si>
  <si>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</si>
  <si>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</si>
  <si>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</si>
  <si>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</si>
  <si>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</si>
  <si>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Patient</t>
  </si>
  <si>
    <t>Target</t>
  </si>
  <si>
    <t>Id</t>
  </si>
  <si>
    <t>Mapping</t>
  </si>
  <si>
    <t>Source</t>
  </si>
  <si>
    <t>//  Logical Model</t>
  </si>
  <si>
    <t>// -------------------------------------------------------------------------------</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</si>
  <si>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</si>
  <si>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</si>
  <si>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</si>
  <si>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</si>
  <si>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</si>
  <si>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</si>
  <si>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</si>
  <si>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</si>
  <si>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</si>
  <si>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</si>
  <si>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</si>
  <si>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</si>
  <si>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</si>
  <si>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</si>
  <si>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</si>
  <si>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</si>
  <si>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</si>
  <si>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</si>
  <si>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</si>
  <si>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</si>
  <si>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</si>
  <si>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</si>
  <si>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</si>
  <si>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</si>
  <si>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</si>
  <si>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</si>
  <si>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</si>
  <si>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</si>
  <si>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</si>
  <si>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</si>
  <si>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</si>
  <si>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</si>
  <si>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</si>
  <si>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</si>
  <si>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</si>
  <si>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</si>
  <si>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</si>
  <si>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</si>
  <si>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</si>
  <si>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</si>
  <si>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</si>
  <si>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</si>
  <si>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</si>
  <si>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</si>
  <si>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</si>
  <si>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</si>
  <si>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</si>
  <si>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</si>
  <si>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</si>
  <si>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</si>
  <si>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</si>
  <si>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</si>
  <si>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</si>
  <si>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</si>
  <si>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</si>
  <si>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</si>
  <si>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</si>
  <si>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</si>
  <si>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</si>
  <si>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</si>
  <si>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</si>
  <si>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</si>
  <si>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</si>
  <si>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</si>
  <si>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</si>
  <si>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</si>
  <si>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</si>
  <si>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</si>
  <si>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</si>
  <si>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</si>
  <si>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</si>
  <si>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</si>
  <si>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</si>
  <si>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</si>
  <si>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</si>
  <si>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</si>
  <si>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</si>
  <si>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</si>
  <si>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</si>
  <si>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</si>
  <si>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</si>
  <si>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</si>
  <si>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</si>
  <si>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</si>
  <si>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</si>
  <si>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</si>
  <si>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</si>
  <si>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</si>
  <si>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</si>
  <si>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</si>
  <si>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</si>
  <si>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</si>
  <si>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</si>
  <si>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</si>
  <si>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</si>
  <si>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</si>
  <si>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</si>
  <si>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</si>
  <si>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</si>
  <si>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</si>
  <si>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</si>
  <si>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</si>
  <si>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</si>
  <si>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</si>
  <si>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</si>
  <si>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</si>
  <si>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</si>
  <si>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</si>
  <si>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</si>
  <si>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</si>
  <si>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</si>
  <si>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</si>
  <si>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</si>
  <si>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</si>
  <si>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</si>
  <si>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</si>
  <si>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</si>
  <si>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</si>
  <si>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</si>
  <si>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</si>
  <si>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</si>
  <si>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</si>
  <si>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</si>
  <si>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</si>
  <si>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</si>
  <si>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</si>
  <si>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</si>
  <si>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</si>
  <si>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</si>
  <si>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</si>
  <si>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</si>
  <si>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</si>
  <si>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</si>
  <si>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</si>
  <si>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</si>
  <si>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</si>
  <si>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</si>
  <si>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</si>
  <si>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</si>
  <si>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</si>
  <si>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</si>
  <si>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</si>
  <si>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</si>
  <si>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</si>
  <si>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</si>
  <si>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</si>
  <si>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</si>
  <si>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</si>
  <si>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</si>
  <si>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</si>
  <si>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</si>
  <si>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</si>
  <si>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</si>
  <si>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</si>
  <si>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</si>
  <si>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</si>
  <si>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</si>
  <si>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</si>
  <si>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</si>
  <si>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</si>
  <si>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</si>
  <si>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</si>
  <si>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</si>
  <si>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</si>
  <si>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</si>
  <si>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</si>
  <si>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</si>
  <si>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</si>
  <si>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</si>
  <si>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</si>
  <si>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</si>
  <si>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</si>
  <si>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</si>
  <si>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</si>
  <si>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</si>
  <si>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</si>
  <si>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</si>
  <si>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</si>
  <si>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</si>
  <si>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</si>
  <si>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</si>
  <si>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</si>
  <si>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</si>
  <si>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</si>
  <si>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</si>
  <si>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</si>
  <si>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</si>
  <si>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</si>
  <si>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</si>
  <si>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</si>
  <si>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</si>
  <si>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</si>
  <si>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</si>
  <si>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</si>
  <si>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</si>
  <si>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</si>
  <si>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</si>
  <si>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</si>
  <si>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</si>
  <si>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</si>
  <si>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</si>
  <si>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</si>
  <si>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</si>
  <si>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</si>
  <si>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</si>
  <si>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</si>
  <si>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</si>
  <si>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</si>
  <si>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</si>
  <si>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</si>
  <si>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</si>
  <si>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</si>
  <si>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</si>
  <si>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</si>
  <si>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</si>
  <si>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</si>
  <si>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</si>
  <si>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</si>
  <si>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</si>
  <si>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</si>
  <si>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</si>
  <si>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</si>
  <si>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</si>
  <si>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</si>
  <si>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</si>
  <si>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</si>
  <si>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</si>
  <si>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</si>
  <si>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</si>
  <si>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</si>
  <si>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</si>
  <si>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</si>
  <si>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</si>
  <si>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</si>
  <si>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A.1.1.5 Gender</t>
  </si>
  <si>
    <t>The family name/surname/last name of the patient. This field can contain more than one element or multiple fields could be present.</t>
  </si>
  <si>
    <t xml:space="preserve"> </t>
  </si>
  <si>
    <t>A.1.1.1 Familyname/surname</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</si>
  <si>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</si>
  <si>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</si>
  <si>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</si>
  <si>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</si>
  <si>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</si>
  <si>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</si>
  <si>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</si>
  <si>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</si>
  <si>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</si>
  <si>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</si>
  <si>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header.payer</t>
  </si>
  <si>
    <t>Payer</t>
  </si>
  <si>
    <t>identifier</t>
  </si>
  <si>
    <t>name</t>
  </si>
  <si>
    <t>Organization</t>
  </si>
  <si>
    <t>A.1.5 Author</t>
  </si>
  <si>
    <t>header.author</t>
  </si>
  <si>
    <t>header.legalAuthenticator</t>
  </si>
  <si>
    <t>LegalAuthenticator</t>
  </si>
  <si>
    <t>Recipient</t>
  </si>
  <si>
    <t>Author</t>
  </si>
  <si>
    <t>Validator</t>
  </si>
  <si>
    <t>Result</t>
  </si>
  <si>
    <t>A.1.1.2 Given name</t>
  </si>
  <si>
    <t>A.1.1.3 Date of birth</t>
  </si>
  <si>
    <t>A.1.1.4 Personal identifier</t>
  </si>
  <si>
    <t>A.1.6 Legal authenticator</t>
  </si>
  <si>
    <t>SpecimenLab</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</si>
  <si>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</si>
  <si>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</si>
  <si>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</si>
  <si>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</si>
  <si>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</si>
  <si>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</si>
  <si>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</si>
  <si>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</si>
  <si>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</si>
  <si>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</si>
  <si>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</si>
  <si>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</si>
  <si>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</si>
  <si>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</si>
  <si>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</si>
  <si>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 xml:space="preserve">//  Concept Model. File: </t>
  </si>
  <si>
    <t>InstanceOf: ConceptMap</t>
  </si>
  <si>
    <t>Usage: #definition</t>
  </si>
  <si>
    <t>* status = #draft</t>
  </si>
  <si>
    <t>* experimental = true</t>
  </si>
  <si>
    <t>subject</t>
  </si>
  <si>
    <t>// * url = ##34#http://terminology.hl7.it/ConceptMap/ConceptMap-subject2osiris##34#</t>
  </si>
  <si>
    <t>http://hl7.eu/fhir/laboratory/StructureDefinition/LabReport</t>
  </si>
  <si>
    <t>description</t>
  </si>
  <si>
    <t>purpose</t>
  </si>
  <si>
    <t>http://hl7.eu/fhir/laboratory</t>
  </si>
  <si>
    <t>Source Group</t>
  </si>
  <si>
    <t>Target Group</t>
  </si>
  <si>
    <t>Source URI</t>
  </si>
  <si>
    <t>Target URI</t>
  </si>
  <si>
    <t>A - Laboratory Report</t>
  </si>
  <si>
    <t>http://hl7.eu/fhir/laboratory/StructureDefinition/Subject</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</si>
  <si>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</si>
  <si>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</si>
  <si>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</si>
  <si>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</si>
  <si>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</si>
  <si>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</si>
  <si>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</si>
  <si>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</si>
  <si>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</si>
  <si>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</si>
  <si>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LabRptSubject2Fhir</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</si>
  <si>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</si>
  <si>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</si>
  <si>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</si>
  <si>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</si>
  <si>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</si>
  <si>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</si>
  <si>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</si>
  <si>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</si>
  <si>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</si>
  <si>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</si>
  <si>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</si>
  <si>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</si>
  <si>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</si>
  <si>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</si>
  <si>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</si>
  <si>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</si>
  <si>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</si>
  <si>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Document title, e.g. 'Laboratory Result report'</t>
  </si>
  <si>
    <t xml:space="preserve">IG Canonical URL </t>
  </si>
  <si>
    <t>Laboratory Report. eHN guideline model.</t>
  </si>
  <si>
    <t>A.1.1 Patient administrative data</t>
  </si>
  <si>
    <t>Patient. Sections A1.1 of the eHN guideline.</t>
  </si>
  <si>
    <t>SubjectEpEhn</t>
  </si>
  <si>
    <t>The given name/first name of the patient (also known as forename or first 
name) [ISO TS 22220:2011]. This field can contain more than one element.</t>
  </si>
  <si>
    <t xml:space="preserve">The date of birth of the patient [ISO TS 22220:2011].
This field may contain only the year if the day and month are not available, 
e.g.: 2009 - Preferred system(s): ISO 8601 </t>
  </si>
  <si>
    <t>Country ID, unique to the patient in that country. Example: ID for a Portuguese patient, national healthcare patient ID. Multiple identifiers could be provided.</t>
  </si>
  <si>
    <t>This field must contain a recognised valid value for 'administrative gender'. 
If different, 'physiological sex' should be communicated elsewhere.</t>
  </si>
  <si>
    <t>familyName</t>
  </si>
  <si>
    <t>givenName</t>
  </si>
  <si>
    <t>dateOfBirth</t>
  </si>
  <si>
    <t>EprescriptionEhn</t>
  </si>
  <si>
    <t>Prescription</t>
  </si>
  <si>
    <t>Prescription. Several Sections of the eHN guideline.</t>
  </si>
  <si>
    <t>Patient administrative data</t>
  </si>
  <si>
    <t>A.1.2 Authentication of the prescription</t>
  </si>
  <si>
    <t>A.1.3 Identification of the prescribing health professional</t>
  </si>
  <si>
    <t>Authentication of the prescription</t>
  </si>
  <si>
    <t>Identification of the prescribing health professional</t>
  </si>
  <si>
    <t>A1.4 Identification of the prescribed product</t>
  </si>
  <si>
    <t>Identification of the prescribed product</t>
  </si>
  <si>
    <t>A.1.5 Prescription information</t>
  </si>
  <si>
    <t>Prescription information</t>
  </si>
  <si>
    <t>patient</t>
  </si>
  <si>
    <t>prescriber</t>
  </si>
  <si>
    <t>product</t>
  </si>
  <si>
    <t>details</t>
  </si>
  <si>
    <t>http://hl7.eu/fhir/ig/xpandh-mpd/StructureDefinition/Subject</t>
  </si>
  <si>
    <t>authentication</t>
  </si>
  <si>
    <t>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t>
  </si>
  <si>
    <t>A.1.2.1 Identifier of the Prescription</t>
  </si>
  <si>
    <t>A.1.2.2 Issue date</t>
  </si>
  <si>
    <t xml:space="preserve">The date and optionally the time the prescription was issued.
 - Preferred system(s): ISO 8601 </t>
  </si>
  <si>
    <t>A.1.3.1 Familyname</t>
  </si>
  <si>
    <t>A.1.3.2 Given name</t>
  </si>
  <si>
    <t>The family name/surname/last name of the prescriber. This enables the prescriber to be traced in the event of questions or emergencies.</t>
  </si>
  <si>
    <t>The given name/ first name of the prescriber. This enables the prescriber to be traced in the event of questions or emergencies.</t>
  </si>
  <si>
    <t>A.1.3.7  Health care provider identifier</t>
  </si>
  <si>
    <t>A.1.3.6 Signature</t>
  </si>
  <si>
    <t>A.1.3.5 Work address</t>
  </si>
  <si>
    <t>A.1.3.4 Details for direct contact</t>
  </si>
  <si>
    <t>A.1.3.3 Professional qualifications</t>
  </si>
  <si>
    <t>The professional title of the prescribing health professional, which may be used to prove the authority of the prescriber.</t>
  </si>
  <si>
    <t>Details for direct contact could be an email address and/or phone/fax number of the prescriber in order for the dispenser and/or patient to contact  the prescriber. This might be necessary if problems arise with dosage, allergies, reimbursement etc.</t>
  </si>
  <si>
    <t>This is the address of the hospital or the practice, etc. where the health professional normally works, meets patients and prescribes medication. Minimally, the country should be specified.</t>
  </si>
  <si>
    <t>Digital signature or token as proof of the authenticity of the prescriber.</t>
  </si>
  <si>
    <t>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t>
  </si>
  <si>
    <t>prescriber.familyName</t>
  </si>
  <si>
    <t>prescriber.givenName</t>
  </si>
  <si>
    <t>prescriber.qualification</t>
  </si>
  <si>
    <t>prescriber.contact</t>
  </si>
  <si>
    <t>prescriber.workAddress</t>
  </si>
  <si>
    <t>prescriber.signature</t>
  </si>
  <si>
    <t>prescriber.identifier</t>
  </si>
  <si>
    <t>authentication.identifier</t>
  </si>
  <si>
    <t>authentication.date</t>
  </si>
  <si>
    <t>A.1.5.2 Quantity of prescribed product</t>
  </si>
  <si>
    <t>A.1.5.3 Dose regimen</t>
  </si>
  <si>
    <t>A.1.5.3.1 Number of units per intake</t>
  </si>
  <si>
    <t>A.1.5.4 Route of administration</t>
  </si>
  <si>
    <t>A.1.5.5 Duration of treatment</t>
  </si>
  <si>
    <t xml:space="preserve">A.1.5.6 Starting date of therapy </t>
  </si>
  <si>
    <t>A.1.5.7 Directions for use</t>
  </si>
  <si>
    <t>A.1.5.8 Prescription expiry date</t>
  </si>
  <si>
    <t>A.1.5.9 Repeats</t>
  </si>
  <si>
    <t>A.1.5.10 Reason for prescription</t>
  </si>
  <si>
    <t>A.1.5.11 Substitution</t>
  </si>
  <si>
    <t>This might be dependent on local or national policy or legislation, in accordance with the treatment plan or because the therapeutic need for the prescribed medicine has expired.
 - Preferred system(s): ISO 8601</t>
  </si>
  <si>
    <t>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t>
  </si>
  <si>
    <t>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t>
  </si>
  <si>
    <t>Substitution handling can be recorded to indicate whether and to what extent substitution is allowed by the prescriber.</t>
  </si>
  <si>
    <t>Information about the directions for use of the prescribed medicinal product (such as ‘with food’ or ‘before a meal’) and any cautionary advice for correct use of the prescribed medicinal product by the patient.
 - Preferred system(s): HL7 TimingEvent</t>
  </si>
  <si>
    <t>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t>
  </si>
  <si>
    <t>The regimen governing the dose quantity per single administration, the dose frequency, and/or speed of administration (in the event of intravenous administration).
Note: this information may be used by the dispenser to calculate the quantity to be dispensed.</t>
  </si>
  <si>
    <t>The number of units per intake that the patient is taking. 
Example: 1 tablet 
 - Preferred system(s): UCUM, EDQM</t>
  </si>
  <si>
    <t>A.1.5.3.2 Frequency of intakes</t>
  </si>
  <si>
    <t>Frequency of intakes per hour/day/week/month. 
Example: every 24 hours
 - Preferred system(s): UCUM, HL7 TimingEvent</t>
  </si>
  <si>
    <t>The route of administration as prescribed. 
Example: oral intake 
 - Preferred system(s): EDQM</t>
  </si>
  <si>
    <t>The duration of the treatment as indicated by the Prescriber. Example: 14 days. 
Can be left blank for long-term therapies. 
 - Preferred system(s): UCUM</t>
  </si>
  <si>
    <t>The time and date on which it is agreed that therapy will start. 
 - Preferred system(s): ISO 8601</t>
  </si>
  <si>
    <t>details.quantity</t>
  </si>
  <si>
    <t>details.doseRegimen</t>
  </si>
  <si>
    <t>details.doseRegimen.numOfIntakes</t>
  </si>
  <si>
    <t>details.doseRegimen.frequencyOfIntakes</t>
  </si>
  <si>
    <t>details.route</t>
  </si>
  <si>
    <t>details.duration</t>
  </si>
  <si>
    <t>details.startDate</t>
  </si>
  <si>
    <t>details.directionsOfUse</t>
  </si>
  <si>
    <t>details.expiryDate</t>
  </si>
  <si>
    <t>details.repeats</t>
  </si>
  <si>
    <t>details.reason</t>
  </si>
  <si>
    <t>details.substitution</t>
  </si>
  <si>
    <t>Signature</t>
  </si>
  <si>
    <t>Quantity</t>
  </si>
  <si>
    <t>Timing</t>
  </si>
  <si>
    <t>Period</t>
  </si>
  <si>
    <t>integer</t>
  </si>
  <si>
    <t>MedProductEhn</t>
  </si>
  <si>
    <t>MedicinalProduct</t>
  </si>
  <si>
    <t>Identification of the prescribed product. Section A1.4 of the eHN guideline</t>
  </si>
  <si>
    <t>A.1.4.1 Name of the medicinal product</t>
  </si>
  <si>
    <t>A.1.4.2 Identifier of the medicinal product</t>
  </si>
  <si>
    <t>Brand name of the authorised medicinal product.
It has to be noted, that according to Implementing Directive 2012/52/EU additional requirements may apply.
[not applicable for generic prescriptions]</t>
  </si>
  <si>
    <t>Identifier of a medicinal product refers to the product inside the package, not the packaged item as such. It could be MPID according to ISO 11615, EMA PMS ID and/or a national identifier.
[not applicable for generic prescriptions]
 - Preferred system(s): EMA PMS</t>
  </si>
  <si>
    <t>A.1.4.2.1 Identifier(s) of the pharmaceutical product</t>
  </si>
  <si>
    <t>A.1.4.2.2 Identifier(s) of the packaged medicinal product</t>
  </si>
  <si>
    <t>A.1.4.3 Marketing authorisation holder</t>
  </si>
  <si>
    <t>A.1.4.4 Active substance(s)</t>
  </si>
  <si>
    <t>A.1.4.4.1 Strength of the active substance(s)</t>
  </si>
  <si>
    <t xml:space="preserve">A.1.4.5 Product classification </t>
  </si>
  <si>
    <t>Identifier of a pharmaceutical product refers to unique PhPID according to ISO 11616. This could be a part of a description of a specific medicinal product or an attribute of a generic prescription.
[not applicable for generic prescriptions]
 - Preferred system(s): EMA PMS</t>
  </si>
  <si>
    <t>Identifier of a packaged medicinal product refers to a specific pack size of a specific product. It could be PCID according to ISO 11615 and/or its national equivalent.
[not applicable for generic prescriptions]
 - Preferred system(s): EMA PMS</t>
  </si>
  <si>
    <t>Organisation that holds the marketing authorisation of the prescribed product.
[not applicable for generic prescriptions]</t>
  </si>
  <si>
    <t>All active substances according to ISO 11238. Referred to by "common name" in implementing directive 2012/52/EU. 
 - Preferred system(s): EMA SMS</t>
  </si>
  <si>
    <t>Presentation and/or concentration strength of the active substances. In addition, reference strength could be provided (Article 1 of Directive 2001/83/EC).
 - Preferred system(s): UCUM; EDQM</t>
  </si>
  <si>
    <t>WHO ATC code of the product 
 - Preferred system(s): ATC</t>
  </si>
  <si>
    <t>Ratio</t>
  </si>
  <si>
    <t>A.1.4.6 Pharmaceutical dose form(s)</t>
  </si>
  <si>
    <t>A.1.4.7 Unit of presentation(s)</t>
  </si>
  <si>
    <t>A.1.4.8 Package type</t>
  </si>
  <si>
    <t>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t>
  </si>
  <si>
    <t>Unit of presentation is used as a unit when describing the strength, but according to ISO IDMP it is also a separate attribute of the pharmaceutical product and manufactured item.
 - Preferred system(s): EDQM</t>
  </si>
  <si>
    <t>Type of the container, Examples: bottle, blister, box
 - Preferred system(s): EDQM</t>
  </si>
  <si>
    <t>A.1.4.9 Pack size</t>
  </si>
  <si>
    <t>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t>
  </si>
  <si>
    <t>mpid</t>
  </si>
  <si>
    <t>phpid</t>
  </si>
  <si>
    <t>pcid</t>
  </si>
  <si>
    <t>marketingAuthHolder</t>
  </si>
  <si>
    <t>activeSubstance</t>
  </si>
  <si>
    <t>strength</t>
  </si>
  <si>
    <t>classification</t>
  </si>
  <si>
    <t>doseForm</t>
  </si>
  <si>
    <t>unitOfPresentation</t>
  </si>
  <si>
    <t>packageType</t>
  </si>
  <si>
    <t>PackageSize</t>
  </si>
  <si>
    <t>http://hl7.eu/fhir/ig/xpandh-mpd/StructureDefinition/MedicinalProduct</t>
  </si>
  <si>
    <t>A - Prescription</t>
  </si>
  <si>
    <t>eP2Fhir</t>
  </si>
  <si>
    <t>eHN ePrescription Model to this guide Map</t>
  </si>
  <si>
    <t>It shows how the ePrescription data set defined by the EU eHN guidelines is mapped into this guide</t>
  </si>
  <si>
    <t>http://hl7.eu/fhir/ig/xpandh-mpd/StructureDefinition/</t>
  </si>
  <si>
    <t>MedicationRequest</t>
  </si>
  <si>
    <t>if a prescription includes only one prescribed item</t>
  </si>
  <si>
    <t>if a prescription includes more then one prescribed item</t>
  </si>
  <si>
    <t>groupIdentifier</t>
  </si>
  <si>
    <t>authoredOn</t>
  </si>
  <si>
    <t>requester</t>
  </si>
  <si>
    <t>TO BE DISCUSSED</t>
  </si>
  <si>
    <t>medicationReference</t>
  </si>
  <si>
    <t>dispenseRequest.quantity</t>
  </si>
  <si>
    <t>dosageInstruction</t>
  </si>
  <si>
    <t>dosageInstruction.doseAndRate.doseQuantity</t>
  </si>
  <si>
    <t>dosageInstruction.timing</t>
  </si>
  <si>
    <t>dosageInstruction.route</t>
  </si>
  <si>
    <t>dosageInstruction.timing.duration</t>
  </si>
  <si>
    <t>dosageInstruction.timing.repeat.duration</t>
  </si>
  <si>
    <t>dispenseRequest.validityPeriod</t>
  </si>
  <si>
    <t>reasonCode</t>
  </si>
  <si>
    <t>reasonReference</t>
  </si>
  <si>
    <t>substitution.allowedCodeableConcept</t>
  </si>
  <si>
    <t>Not implemented in the current eP / eD service</t>
  </si>
  <si>
    <t>qualification</t>
  </si>
  <si>
    <t>contact</t>
  </si>
  <si>
    <t>workAddress</t>
  </si>
  <si>
    <t>where use = 'work'</t>
  </si>
  <si>
    <t>A combination of frequency, period and periodUnit.
'3 times per day', 3 would be the frequency and '1 day' would be the period/periodUnit.</t>
  </si>
  <si>
    <t>eP2FHIR-eu-xpandh</t>
  </si>
  <si>
    <t>subject2FHIR-eu-xpandh</t>
  </si>
  <si>
    <t>http://hl7.eu/fhir/laboratory/StructureDefinition/Patient-eu-xpandh</t>
  </si>
  <si>
    <t>Medication</t>
  </si>
  <si>
    <t>medProd2FHIR-eu-xpandh</t>
  </si>
  <si>
    <t>IG url</t>
  </si>
  <si>
    <t>Targte Profile Model</t>
  </si>
  <si>
    <t>MedicationRequest-eu-xpandh</t>
  </si>
  <si>
    <t>http://hl7.eu/fhir/ig/xpandh-mpd/</t>
  </si>
  <si>
    <t>eHN Prescription to this guide Map</t>
  </si>
  <si>
    <t>MedProd2Fhir</t>
  </si>
  <si>
    <t>eHN Medicinal Product to this guide Map</t>
  </si>
  <si>
    <t>Medication-eu-xpandh</t>
  </si>
  <si>
    <t>eHN Medicinal Product Model to this guide Map</t>
  </si>
  <si>
    <t>It shows how the Medicinal Product data set defined by the EU eHN guidelines is mapped into this guide</t>
  </si>
  <si>
    <t>code.text</t>
  </si>
  <si>
    <t>to be checked</t>
  </si>
  <si>
    <t>code.coding</t>
  </si>
  <si>
    <t>How it is implemented now in the IPS</t>
  </si>
  <si>
    <t>manufacturer</t>
  </si>
  <si>
    <t>form</t>
  </si>
  <si>
    <t>if it is the presentation strength</t>
  </si>
  <si>
    <t>ingredient.strength.denominator.code</t>
  </si>
  <si>
    <t>ingredient.strength</t>
  </si>
  <si>
    <t>only one kind of strength is provided.
Clarify how to provide ingredient and strength as text</t>
  </si>
  <si>
    <t>ingredient</t>
  </si>
  <si>
    <t>where isActitve = 'true'</t>
  </si>
  <si>
    <t>MedicationKnowledge.packaging.type</t>
  </si>
  <si>
    <t>MedicationKnowledge.packaging.quantity</t>
  </si>
  <si>
    <t>extension(definition).ValueReference</t>
  </si>
  <si>
    <t>contained.packaging.type</t>
  </si>
  <si>
    <t>contained.packaging.quantity</t>
  </si>
  <si>
    <t>if contained</t>
  </si>
  <si>
    <t>MedicationKnowledge.medicineClassification.classification.
Type to be defined</t>
  </si>
  <si>
    <t>How it is implemented now in the IPS. TBD</t>
  </si>
  <si>
    <t>Identifier of the dispenser</t>
  </si>
  <si>
    <t>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t>
  </si>
  <si>
    <t>Family name of the dispenser</t>
  </si>
  <si>
    <t>The family name/surname/last name of the dispenser. This enables the dispenser to be traced in the event of questions or emergencies.</t>
  </si>
  <si>
    <t>Given name of the dispenser</t>
  </si>
  <si>
    <t>The given name/first name of the dispenser. This enables the dispenser to be traced in the event of questions or emergencies.</t>
  </si>
  <si>
    <t>Identifier of the pharmacy</t>
  </si>
  <si>
    <t>A unique number or code issued for the purpose of identifying a pharmacy [ISO/TS 27527:2010]; this may be a licence or registration number which can be used to trace the dispensing pharmacy.</t>
  </si>
  <si>
    <t>Address of the pharmacy</t>
  </si>
  <si>
    <t>Minimally, the country should be specified.</t>
  </si>
  <si>
    <t>Details of direct contact</t>
  </si>
  <si>
    <t>Details of direct contact could be an email address and/or phone/fax number of the dispensing pharmacy.</t>
  </si>
  <si>
    <t>Identifier of the prescription</t>
  </si>
  <si>
    <t xml:space="preserve"> As described in A.1.2.</t>
  </si>
  <si>
    <t>Medicinal product</t>
  </si>
  <si>
    <t>Dispensed quantity</t>
  </si>
  <si>
    <t>The package size should be clear from the medicinal product data and the overall amount should be automatically calculable. The dispensed quantity may differ from the prescribed quantity.</t>
  </si>
  <si>
    <t>B.1.10</t>
  </si>
  <si>
    <t>Dispensation date</t>
  </si>
  <si>
    <t>The date and optionally the time of dispensation.</t>
  </si>
  <si>
    <t>B.1.11</t>
  </si>
  <si>
    <t>Substitution</t>
  </si>
  <si>
    <t>Information whether and why the substitution took place</t>
  </si>
  <si>
    <t>B.1.1</t>
  </si>
  <si>
    <t>Information about the dispensed product as described in A.1.4.
The cardinality of the data elements in the product description may differ between ePrescription and eDispensation.</t>
  </si>
  <si>
    <t>B.1.2</t>
  </si>
  <si>
    <t>B.1.3</t>
  </si>
  <si>
    <t>B.1.4</t>
  </si>
  <si>
    <t>B.1.5</t>
  </si>
  <si>
    <t>B.1.6</t>
  </si>
  <si>
    <t>B.1.7</t>
  </si>
  <si>
    <t>B.1.8</t>
  </si>
  <si>
    <t>B.1.9</t>
  </si>
  <si>
    <t>UCUM, EDQM</t>
  </si>
  <si>
    <t>B.1.1 Identifier of the dispenser</t>
  </si>
  <si>
    <t>B.1.2 Family name of the dispenser</t>
  </si>
  <si>
    <t>B.1.3 Given name of the dispenser</t>
  </si>
  <si>
    <t>B.1.4 Identifier of the pharmacy</t>
  </si>
  <si>
    <t>B.1.5 Address of the pharmacy</t>
  </si>
  <si>
    <t>B.1.6 Details of direct contact</t>
  </si>
  <si>
    <t>B.1.7 Identifier of the prescription</t>
  </si>
  <si>
    <t>B.1.8 Medicinal product</t>
  </si>
  <si>
    <t>B.1.9 Dispensed quantity</t>
  </si>
  <si>
    <t>B.1.10 Dispensation date</t>
  </si>
  <si>
    <t>B.1.11 Substitution</t>
  </si>
  <si>
    <t>The package size should be clear from the medicinal product data and the overall amount should be automatically calculable. The dispensed quantity may differ from the prescribed quantity.
 - Preferred system(s): UCUM, EDQM</t>
  </si>
  <si>
    <t>The date and optionally the time of dispensation.
 - Preferred system(s): ISO 8601</t>
  </si>
  <si>
    <t>B.1 Dispensation information (provided by the dispensing pharmacy)</t>
  </si>
  <si>
    <t>Dispensation information (provided by the dispensing pharmacy). Section B1 of the guidelines</t>
  </si>
  <si>
    <t>dispenserIdentifier</t>
  </si>
  <si>
    <t>dispenserName</t>
  </si>
  <si>
    <t>dispenserFamilyName</t>
  </si>
  <si>
    <t>dispenserGivenName</t>
  </si>
  <si>
    <t>pharmacyIdentifier</t>
  </si>
  <si>
    <t>pharmacyAddress</t>
  </si>
  <si>
    <t>contactDetails</t>
  </si>
  <si>
    <t>prescriptionIdentifier</t>
  </si>
  <si>
    <t>medicinalProduct</t>
  </si>
  <si>
    <t>dispensedQuantity</t>
  </si>
  <si>
    <t>dispensationDate</t>
  </si>
  <si>
    <t>substitution</t>
  </si>
  <si>
    <t>Dispensation</t>
  </si>
  <si>
    <t>EdispensationEhn</t>
  </si>
  <si>
    <t>eD2Fhir</t>
  </si>
  <si>
    <t>Canonical (EdispensationEhn)</t>
  </si>
  <si>
    <t>Canonical(MedicationDispenseEuMpd)</t>
  </si>
  <si>
    <t>eD2FHIR-eu-mpd</t>
  </si>
  <si>
    <t>eHN Dispense to this guide Map</t>
  </si>
  <si>
    <t>MedicationDispense-eu-mpd</t>
  </si>
  <si>
    <t>eHN eDispensation Model to this guide Map</t>
  </si>
  <si>
    <t>It shows how the eDispensation data set defined by the EU eHN guidelines is mapped into this guide</t>
  </si>
  <si>
    <t>MedicationDispense</t>
  </si>
  <si>
    <t>performer.actor.identifier</t>
  </si>
  <si>
    <t>performer.actor.practitioner.name.family</t>
  </si>
  <si>
    <t>Assuming actor of type PractitionerRole</t>
  </si>
  <si>
    <t>performer.actor.practitioner.name.given</t>
  </si>
  <si>
    <t>performer.actor.organization.identifier</t>
  </si>
  <si>
    <t>Assuming actor of type PractitionerRole (to be checked this assume that the pharamcy  is the org the dispenser is working for…)</t>
  </si>
  <si>
    <t>Assuming actor of type Organziation (to be checked this assumes that the pharamcy  is the org dispensing)</t>
  </si>
  <si>
    <t>performer.actor.address</t>
  </si>
  <si>
    <t>subject.contact</t>
  </si>
  <si>
    <t>subject of type Patient</t>
  </si>
  <si>
    <t>authorizingPrescription.identifier</t>
  </si>
  <si>
    <t>TO BE CHECKED is this true for multi-items prescriptions ?</t>
  </si>
  <si>
    <t>quantity</t>
  </si>
  <si>
    <t>whenHandedOver</t>
  </si>
  <si>
    <t>Details in the referred Practitioner resource</t>
  </si>
  <si>
    <t>http://hl7.eu/fhir/ig/xpandh-mpd/StructureDefinition/Practitioner-eu-xpandh</t>
  </si>
  <si>
    <t>Practitioner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</si>
</sst>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b/>
      <u/>
      <sz val="11"/>
      <color theme="10"/>
      <name val="Calibri"/>
      <family val="2"/>
      <scheme val="minor"/>
    </font>
    <font>
      <sz val="8"/>
      <name val="Calibri"/>
      <family val="2"/>
      <scheme val="minor"/>
    </font>
    <font>
      <sz val="11"/>
      <color theme="1"/>
      <name val="Aptos"/>
      <family val="2"/>
    </font>
  </fonts>
  <fills count="1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27">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thin">
        <color auto="1"/>
      </right>
      <top/>
      <bottom/>
      <diagonal/>
    </border>
  </borders>
  <cellStyleXfs count="4">
    <xf numFmtId="0" fontId="0" fillId="0" borderId="0"/>
    <xf numFmtId="0" fontId="2" fillId="0" borderId="0" applyNumberFormat="0" applyFill="0" applyBorder="0" applyAlignment="0" applyProtection="0"/>
    <xf numFmtId="0" fontId="6" fillId="6" borderId="0" applyNumberFormat="0" applyBorder="0" applyAlignment="0" applyProtection="0"/>
    <xf numFmtId="0" fontId="6" fillId="7" borderId="0" applyNumberFormat="0" applyBorder="0" applyAlignment="0" applyProtection="0"/>
  </cellStyleXfs>
  <cellXfs count="9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1" fillId="0" borderId="5" xfId="0" applyFont="1" applyBorder="1"/>
    <xf numFmtId="0" fontId="0" fillId="3" borderId="1" xfId="0" applyFill="1" applyBorder="1"/>
    <xf numFmtId="0" fontId="0" fillId="0" borderId="1" xfId="0" applyBorder="1"/>
    <xf numFmtId="0" fontId="3" fillId="0" borderId="0" xfId="0" applyFont="1"/>
    <xf numFmtId="0" fontId="4" fillId="2" borderId="0" xfId="0" applyFont="1" applyFill="1" applyAlignment="1">
      <alignment horizontal="center" vertical="top" wrapText="1"/>
    </xf>
    <xf numFmtId="0" fontId="0" fillId="0" borderId="1" xfId="0" applyBorder="1" applyAlignment="1">
      <alignment wrapText="1"/>
    </xf>
    <xf numFmtId="0" fontId="0" fillId="0" borderId="9" xfId="0" applyBorder="1"/>
    <xf numFmtId="0" fontId="0" fillId="0" borderId="6" xfId="0" applyBorder="1"/>
    <xf numFmtId="0" fontId="1" fillId="0" borderId="7" xfId="0" applyFont="1" applyBorder="1"/>
    <xf numFmtId="0" fontId="0" fillId="0" borderId="10" xfId="0" applyBorder="1"/>
    <xf numFmtId="0" fontId="1" fillId="0" borderId="11" xfId="0" applyFont="1" applyBorder="1"/>
    <xf numFmtId="0" fontId="0" fillId="0" borderId="12" xfId="0" applyBorder="1"/>
    <xf numFmtId="0" fontId="0" fillId="0" borderId="13" xfId="0" applyBorder="1"/>
    <xf numFmtId="0" fontId="1" fillId="0" borderId="1" xfId="0" applyFont="1" applyBorder="1" applyAlignment="1">
      <alignment wrapText="1"/>
    </xf>
    <xf numFmtId="0" fontId="7" fillId="0" borderId="1" xfId="0" applyFont="1" applyBorder="1" applyAlignment="1">
      <alignment wrapText="1"/>
    </xf>
    <xf numFmtId="0" fontId="8" fillId="6" borderId="14" xfId="2" applyFont="1" applyBorder="1" applyAlignment="1">
      <alignment wrapText="1"/>
    </xf>
    <xf numFmtId="0" fontId="8" fillId="6" borderId="0" xfId="2" applyFont="1" applyBorder="1" applyAlignment="1">
      <alignment wrapText="1"/>
    </xf>
    <xf numFmtId="0" fontId="3" fillId="0" borderId="10" xfId="0" applyFont="1" applyBorder="1"/>
    <xf numFmtId="0" fontId="9" fillId="0" borderId="16" xfId="0" applyFont="1" applyBorder="1" applyAlignment="1">
      <alignment horizontal="center" vertical="center" wrapText="1"/>
    </xf>
    <xf numFmtId="0" fontId="10" fillId="0" borderId="18"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1" xfId="0" applyBorder="1"/>
    <xf numFmtId="0" fontId="1" fillId="0" borderId="22" xfId="0" applyFont="1" applyBorder="1"/>
    <xf numFmtId="0" fontId="0" fillId="0" borderId="23" xfId="0" applyBorder="1"/>
    <xf numFmtId="0" fontId="3" fillId="0" borderId="1" xfId="0" applyFont="1" applyBorder="1"/>
    <xf numFmtId="0" fontId="1" fillId="0" borderId="4" xfId="0" applyFont="1" applyBorder="1" applyAlignment="1">
      <alignment wrapText="1"/>
    </xf>
    <xf numFmtId="0" fontId="13" fillId="7" borderId="24" xfId="3" applyFont="1" applyBorder="1" applyAlignment="1">
      <alignment horizontal="center" vertical="center"/>
    </xf>
    <xf numFmtId="0" fontId="0" fillId="0" borderId="25" xfId="0" applyBorder="1" applyAlignment="1">
      <alignment wrapText="1"/>
    </xf>
    <xf numFmtId="0" fontId="0" fillId="8" borderId="1" xfId="0" applyFill="1" applyBorder="1"/>
    <xf numFmtId="0" fontId="6" fillId="7"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5"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0" borderId="0" xfId="0" applyFill="1"/>
    <xf numFmtId="0" fontId="0" fillId="4" borderId="0" xfId="0" applyFill="1"/>
    <xf numFmtId="0" fontId="14" fillId="9"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0" fillId="0" borderId="24" xfId="0" applyBorder="1" applyAlignment="1">
      <alignment vertical="center" wrapText="1"/>
    </xf>
    <xf numFmtId="0" fontId="0" fillId="0" borderId="16" xfId="0"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1" fillId="11" borderId="0" xfId="0" applyFont="1" applyFill="1"/>
    <xf numFmtId="0" fontId="15" fillId="11" borderId="0" xfId="1" applyFont="1" applyFill="1"/>
    <xf numFmtId="0" fontId="0" fillId="0" borderId="26" xfId="0" applyBorder="1"/>
    <xf numFmtId="0" fontId="2" fillId="3" borderId="0" xfId="1" applyFill="1"/>
    <xf numFmtId="49" fontId="0" fillId="3" borderId="1" xfId="0" applyNumberFormat="1" applyFill="1" applyBorder="1"/>
    <xf numFmtId="49" fontId="0" fillId="3" borderId="1" xfId="0" applyNumberFormat="1" applyFill="1" applyBorder="1" applyAlignment="1">
      <alignment wrapText="1"/>
    </xf>
    <xf numFmtId="0" fontId="17" fillId="0" borderId="24" xfId="0" applyFont="1" applyBorder="1" applyAlignment="1">
      <alignment vertical="center" wrapText="1"/>
    </xf>
    <xf numFmtId="0" fontId="17" fillId="0" borderId="16" xfId="0" applyFont="1" applyBorder="1" applyAlignment="1">
      <alignment vertical="center" wrapText="1"/>
    </xf>
    <xf numFmtId="0" fontId="17" fillId="0" borderId="18" xfId="0" applyFont="1" applyBorder="1" applyAlignment="1">
      <alignment vertical="center" wrapText="1"/>
    </xf>
    <xf numFmtId="0" fontId="17" fillId="0" borderId="2" xfId="0" applyFont="1" applyBorder="1" applyAlignment="1">
      <alignment vertical="center" wrapText="1"/>
    </xf>
    <xf numFmtId="0" fontId="17" fillId="0" borderId="8" xfId="0" applyFont="1" applyBorder="1" applyAlignment="1">
      <alignment vertical="center" wrapText="1"/>
    </xf>
    <xf numFmtId="0" fontId="17" fillId="0" borderId="19" xfId="0" applyFont="1" applyBorder="1" applyAlignment="1">
      <alignment vertical="center" wrapText="1"/>
    </xf>
    <xf numFmtId="0" fontId="17" fillId="0" borderId="1" xfId="0" applyFont="1" applyBorder="1" applyAlignment="1">
      <alignment vertical="center" wrapText="1"/>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justify" vertical="center" wrapText="1"/>
    </xf>
    <xf numFmtId="0" fontId="9" fillId="0" borderId="17" xfId="0" applyFont="1" applyBorder="1" applyAlignment="1">
      <alignment horizontal="justify" vertical="center" wrapText="1"/>
    </xf>
    <xf numFmtId="0" fontId="9" fillId="0" borderId="16" xfId="0" applyFont="1" applyBorder="1" applyAlignment="1">
      <alignment horizontal="justify" vertical="center" wrapText="1"/>
    </xf>
    <xf numFmtId="0" fontId="10" fillId="0" borderId="19" xfId="0" applyFont="1" applyBorder="1" applyAlignment="1">
      <alignment horizontal="justify" vertical="center" wrapText="1"/>
    </xf>
    <xf numFmtId="0" fontId="10" fillId="0" borderId="20"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8" xfId="0" applyFont="1" applyBorder="1" applyAlignment="1">
      <alignment horizontal="left" vertical="center" wrapText="1"/>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2" fillId="0" borderId="15" xfId="1" applyBorder="1" applyAlignment="1">
      <alignment horizontal="justify" vertical="center" wrapText="1"/>
    </xf>
    <xf numFmtId="0" fontId="2" fillId="0" borderId="17" xfId="1" applyBorder="1" applyAlignment="1">
      <alignment horizontal="justify" vertical="center" wrapText="1"/>
    </xf>
    <xf numFmtId="0" fontId="2" fillId="0" borderId="16" xfId="1" applyBorder="1" applyAlignment="1">
      <alignment horizontal="justify" vertical="center" wrapText="1"/>
    </xf>
    <xf numFmtId="0" fontId="2" fillId="0" borderId="15" xfId="1" applyBorder="1" applyAlignment="1">
      <alignment horizontal="left" vertical="center" wrapText="1"/>
    </xf>
    <xf numFmtId="0" fontId="2" fillId="0" borderId="17" xfId="1" applyBorder="1" applyAlignment="1">
      <alignment horizontal="left" vertical="center" wrapText="1"/>
    </xf>
    <xf numFmtId="0" fontId="2" fillId="0" borderId="16" xfId="1" applyBorder="1" applyAlignment="1">
      <alignment horizontal="left" vertical="center" wrapText="1"/>
    </xf>
    <xf numFmtId="0" fontId="0" fillId="0" borderId="0" xfId="0"/>
    <xf numFmtId="0" fontId="2" fillId="0" borderId="0" xfId="1"/>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02081" name="Button 1" hidden="1">
              <a:extLst>
                <a:ext uri="{63B3BB69-23CF-44E3-9099-C40C66FF867C}">
                  <a14:compatExt spid="_x0000_s302081"/>
                </a:ext>
                <a:ext uri="{FF2B5EF4-FFF2-40B4-BE49-F238E27FC236}">
                  <a16:creationId xmlns:a16="http://schemas.microsoft.com/office/drawing/2014/main" id="{00000000-0008-0000-0500-0000019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03105" name="Button 1" hidden="1">
              <a:extLst>
                <a:ext uri="{63B3BB69-23CF-44E3-9099-C40C66FF867C}">
                  <a14:compatExt spid="_x0000_s303105"/>
                </a:ext>
                <a:ext uri="{FF2B5EF4-FFF2-40B4-BE49-F238E27FC236}">
                  <a16:creationId xmlns:a16="http://schemas.microsoft.com/office/drawing/2014/main" id="{00000000-0008-0000-0700-000001A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900-0000013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C00-0000013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0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1200-0000019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400-0000019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xpandh-mpd/StructureDefinition/"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ig/xpandh-mpd/StructureDefinition/MedicationRequest-eu-xpandh" TargetMode="External"/><Relationship Id="rId5" Type="http://schemas.openxmlformats.org/officeDocument/2006/relationships/printerSettings" Target="../printerSettings/printerSettings3.bin"/><Relationship Id="rId4" Type="http://schemas.openxmlformats.org/officeDocument/2006/relationships/hyperlink" Target="http://hl7.eu/fhir/ig/xpandh-mpd/"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hl7.eu/fhir/ig/xpandh-mpd/StructureDefinition/Subject" TargetMode="Externa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ig/xpandh-mpd/StructureDefinition/"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ig/xpandh-mpd/StructureDefinition/MedicationRequest-eu-xpandh" TargetMode="External"/><Relationship Id="rId5" Type="http://schemas.openxmlformats.org/officeDocument/2006/relationships/printerSettings" Target="../printerSettings/printerSettings6.bin"/><Relationship Id="rId4" Type="http://schemas.openxmlformats.org/officeDocument/2006/relationships/hyperlink" Target="http://hl7.eu/fhir/ig/xpandh-mpd/"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Practictioner-eu-xpandh" TargetMode="External"/><Relationship Id="rId1" Type="http://schemas.openxmlformats.org/officeDocument/2006/relationships/hyperlink" Target="http://hl7.eu/fhir/laboratory/StructureDefinition/LabReport" TargetMode="External"/><Relationship Id="rId5" Type="http://schemas.openxmlformats.org/officeDocument/2006/relationships/printerSettings" Target="../printerSettings/printerSettings7.bin"/><Relationship Id="rId4" Type="http://schemas.openxmlformats.org/officeDocument/2006/relationships/hyperlink" Target="http://hl7.eu/fhir/ig/xpandh-mpd/StructureDefinition/"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ig/xpandh-mpd/StructureDefinition/MedicationRequest-eu-xpandh" TargetMode="External"/><Relationship Id="rId1" Type="http://schemas.openxmlformats.org/officeDocument/2006/relationships/hyperlink" Target="http://hl7.eu/fhir/ig/xpandh-mpd/StructureDefinition/" TargetMode="External"/><Relationship Id="rId4" Type="http://schemas.openxmlformats.org/officeDocument/2006/relationships/hyperlink" Target="http://hl7.eu/fhir/ig/xpandh-mpd/"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74" t="s">
        <v>22</v>
      </c>
      <c r="C3" s="75"/>
      <c r="D3" s="23" t="s">
        <v>23</v>
      </c>
      <c r="E3" s="23" t="s">
        <v>24</v>
      </c>
    </row>
    <row r="4" spans="2:5" ht="16.75" thickBot="1" x14ac:dyDescent="0.9">
      <c r="B4" s="76" t="s">
        <v>25</v>
      </c>
      <c r="C4" s="77"/>
      <c r="D4" s="77"/>
      <c r="E4" s="78"/>
    </row>
    <row r="5" spans="2:5" ht="16.75" thickBot="1" x14ac:dyDescent="0.9">
      <c r="B5" s="76" t="s">
        <v>26</v>
      </c>
      <c r="C5" s="77"/>
      <c r="D5" s="77"/>
      <c r="E5" s="78"/>
    </row>
    <row r="6" spans="2:5" ht="48.75" thickBot="1" x14ac:dyDescent="0.9">
      <c r="B6" s="24" t="s">
        <v>27</v>
      </c>
      <c r="C6" s="25" t="s">
        <v>28</v>
      </c>
      <c r="D6" s="25" t="s">
        <v>29</v>
      </c>
      <c r="E6" s="26"/>
    </row>
    <row r="7" spans="2:5" ht="48.75" thickBot="1" x14ac:dyDescent="0.9">
      <c r="B7" s="24" t="s">
        <v>30</v>
      </c>
      <c r="C7" s="25" t="s">
        <v>31</v>
      </c>
      <c r="D7" s="25" t="s">
        <v>32</v>
      </c>
      <c r="E7" s="26"/>
    </row>
    <row r="8" spans="2:5" ht="64.75" thickBot="1" x14ac:dyDescent="0.9">
      <c r="B8" s="24" t="s">
        <v>33</v>
      </c>
      <c r="C8" s="25" t="s">
        <v>34</v>
      </c>
      <c r="D8" s="25" t="s">
        <v>35</v>
      </c>
      <c r="E8" s="27" t="s">
        <v>36</v>
      </c>
    </row>
    <row r="9" spans="2:5" ht="48.75" thickBot="1" x14ac:dyDescent="0.9">
      <c r="B9" s="24" t="s">
        <v>37</v>
      </c>
      <c r="C9" s="25" t="s">
        <v>38</v>
      </c>
      <c r="D9" s="25" t="s">
        <v>39</v>
      </c>
      <c r="E9" s="26"/>
    </row>
    <row r="10" spans="2:5" ht="32" x14ac:dyDescent="0.75">
      <c r="B10" s="79" t="s">
        <v>40</v>
      </c>
      <c r="C10" s="79" t="s">
        <v>41</v>
      </c>
      <c r="D10" s="28" t="s">
        <v>42</v>
      </c>
      <c r="E10" s="82" t="s">
        <v>43</v>
      </c>
    </row>
    <row r="11" spans="2:5" x14ac:dyDescent="0.75">
      <c r="B11" s="80"/>
      <c r="C11" s="80"/>
      <c r="D11" s="29"/>
      <c r="E11" s="83"/>
    </row>
    <row r="12" spans="2:5" ht="32.75" thickBot="1" x14ac:dyDescent="0.9">
      <c r="B12" s="81"/>
      <c r="C12" s="81"/>
      <c r="D12" s="25" t="s">
        <v>44</v>
      </c>
      <c r="E12" s="84"/>
    </row>
    <row r="13" spans="2:5" ht="16.75" thickBot="1" x14ac:dyDescent="0.9">
      <c r="B13" s="85" t="s">
        <v>45</v>
      </c>
      <c r="C13" s="86"/>
      <c r="D13" s="86"/>
      <c r="E13" s="87"/>
    </row>
    <row r="14" spans="2:5" ht="96.75" thickBot="1" x14ac:dyDescent="0.9">
      <c r="B14" s="24" t="s">
        <v>46</v>
      </c>
      <c r="C14" s="25" t="s">
        <v>47</v>
      </c>
      <c r="D14" s="25" t="s">
        <v>48</v>
      </c>
      <c r="E14" s="27" t="s">
        <v>49</v>
      </c>
    </row>
    <row r="15" spans="2:5" ht="48.75" thickBot="1" x14ac:dyDescent="0.9">
      <c r="B15" s="24" t="s">
        <v>50</v>
      </c>
      <c r="C15" s="25" t="s">
        <v>51</v>
      </c>
      <c r="D15" s="25" t="s">
        <v>52</v>
      </c>
      <c r="E15" s="30"/>
    </row>
    <row r="16" spans="2:5" ht="16.75" thickBot="1" x14ac:dyDescent="0.9">
      <c r="B16" s="85" t="s">
        <v>53</v>
      </c>
      <c r="C16" s="86"/>
      <c r="D16" s="86"/>
      <c r="E16" s="87"/>
    </row>
    <row r="17" spans="2:5" ht="64.75" thickBot="1" x14ac:dyDescent="0.9">
      <c r="B17" s="24" t="s">
        <v>54</v>
      </c>
      <c r="C17" s="27" t="s">
        <v>55</v>
      </c>
      <c r="D17" s="25" t="s">
        <v>56</v>
      </c>
      <c r="E17" s="30"/>
    </row>
    <row r="18" spans="2:5" ht="32.75" thickBot="1" x14ac:dyDescent="0.9">
      <c r="B18" s="24" t="s">
        <v>57</v>
      </c>
      <c r="C18" s="27" t="s">
        <v>58</v>
      </c>
      <c r="D18" s="25" t="s">
        <v>59</v>
      </c>
      <c r="E18" s="30"/>
    </row>
    <row r="19" spans="2:5" ht="32.75" thickBot="1" x14ac:dyDescent="0.9">
      <c r="B19" s="24" t="s">
        <v>60</v>
      </c>
      <c r="C19" s="27" t="s">
        <v>61</v>
      </c>
      <c r="D19" s="25" t="s">
        <v>62</v>
      </c>
      <c r="E19" s="30"/>
    </row>
    <row r="20" spans="2:5" ht="32.75" thickBot="1" x14ac:dyDescent="0.9">
      <c r="B20" s="24" t="s">
        <v>63</v>
      </c>
      <c r="C20" s="27" t="s">
        <v>64</v>
      </c>
      <c r="D20" s="25" t="s">
        <v>65</v>
      </c>
      <c r="E20" s="30"/>
    </row>
    <row r="21" spans="2:5" ht="16.75" thickBot="1" x14ac:dyDescent="0.9">
      <c r="B21" s="85" t="s">
        <v>66</v>
      </c>
      <c r="C21" s="86"/>
      <c r="D21" s="86"/>
      <c r="E21" s="87"/>
    </row>
    <row r="22" spans="2:5" ht="96.75" thickBot="1" x14ac:dyDescent="0.9">
      <c r="B22" s="24" t="s">
        <v>67</v>
      </c>
      <c r="C22" s="25" t="s">
        <v>68</v>
      </c>
      <c r="D22" s="25" t="s">
        <v>69</v>
      </c>
      <c r="E22" s="30"/>
    </row>
    <row r="23" spans="2:5" ht="16.75" thickBot="1" x14ac:dyDescent="0.9">
      <c r="B23" s="24" t="s">
        <v>70</v>
      </c>
      <c r="C23" s="25" t="s">
        <v>71</v>
      </c>
      <c r="D23" s="25" t="s">
        <v>72</v>
      </c>
      <c r="E23" s="30"/>
    </row>
    <row r="24" spans="2:5" ht="16.75" thickBot="1" x14ac:dyDescent="0.9">
      <c r="B24" s="24" t="s">
        <v>73</v>
      </c>
      <c r="C24" s="25" t="s">
        <v>74</v>
      </c>
      <c r="D24" s="25" t="s">
        <v>75</v>
      </c>
      <c r="E24" s="30"/>
    </row>
    <row r="25" spans="2:5" ht="16.75" thickBot="1" x14ac:dyDescent="0.9">
      <c r="B25" s="85" t="s">
        <v>76</v>
      </c>
      <c r="C25" s="86"/>
      <c r="D25" s="86"/>
      <c r="E25" s="87"/>
    </row>
    <row r="26" spans="2:5" ht="80.75" thickBot="1" x14ac:dyDescent="0.9">
      <c r="B26" s="24" t="s">
        <v>77</v>
      </c>
      <c r="C26" s="25" t="s">
        <v>78</v>
      </c>
      <c r="D26" s="25" t="s">
        <v>79</v>
      </c>
      <c r="E26" s="30"/>
    </row>
    <row r="27" spans="2:5" ht="16.75" thickBot="1" x14ac:dyDescent="0.9">
      <c r="B27" s="24" t="s">
        <v>80</v>
      </c>
      <c r="C27" s="25" t="s">
        <v>81</v>
      </c>
      <c r="D27" s="25" t="s">
        <v>82</v>
      </c>
      <c r="E27" s="30"/>
    </row>
    <row r="28" spans="2:5" ht="16.75" thickBot="1" x14ac:dyDescent="0.9">
      <c r="B28" s="24" t="s">
        <v>83</v>
      </c>
      <c r="C28" s="25" t="s">
        <v>84</v>
      </c>
      <c r="D28" s="25" t="s">
        <v>75</v>
      </c>
      <c r="E28" s="30"/>
    </row>
    <row r="29" spans="2:5" ht="16.75" thickBot="1" x14ac:dyDescent="0.9">
      <c r="B29" s="85" t="s">
        <v>85</v>
      </c>
      <c r="C29" s="86"/>
      <c r="D29" s="86"/>
      <c r="E29" s="87"/>
    </row>
    <row r="30" spans="2:5" ht="64.75" thickBot="1" x14ac:dyDescent="0.9">
      <c r="B30" s="24" t="s">
        <v>86</v>
      </c>
      <c r="C30" s="27" t="s">
        <v>87</v>
      </c>
      <c r="D30" s="25" t="s">
        <v>88</v>
      </c>
      <c r="E30" s="30"/>
    </row>
    <row r="31" spans="2:5" ht="16.75" thickBot="1" x14ac:dyDescent="0.9">
      <c r="B31" s="24" t="s">
        <v>89</v>
      </c>
      <c r="C31" s="27" t="s">
        <v>90</v>
      </c>
      <c r="D31" s="25" t="s">
        <v>72</v>
      </c>
      <c r="E31" s="30"/>
    </row>
    <row r="32" spans="2:5" ht="32.75" thickBot="1" x14ac:dyDescent="0.9">
      <c r="B32" s="24" t="s">
        <v>91</v>
      </c>
      <c r="C32" s="27" t="s">
        <v>92</v>
      </c>
      <c r="D32" s="25" t="s">
        <v>75</v>
      </c>
      <c r="E32" s="30"/>
    </row>
    <row r="33" spans="2:5" ht="32.75" thickBot="1" x14ac:dyDescent="0.9">
      <c r="B33" s="24" t="s">
        <v>93</v>
      </c>
      <c r="C33" s="27" t="s">
        <v>94</v>
      </c>
      <c r="D33" s="25" t="s">
        <v>95</v>
      </c>
      <c r="E33" s="27" t="s">
        <v>96</v>
      </c>
    </row>
    <row r="34" spans="2:5" ht="16.75" thickBot="1" x14ac:dyDescent="0.9">
      <c r="B34" s="85" t="s">
        <v>97</v>
      </c>
      <c r="C34" s="86"/>
      <c r="D34" s="86"/>
      <c r="E34" s="87"/>
    </row>
    <row r="35" spans="2:5" ht="64.75" thickBot="1" x14ac:dyDescent="0.9">
      <c r="B35" s="24" t="s">
        <v>98</v>
      </c>
      <c r="C35" s="27" t="s">
        <v>99</v>
      </c>
      <c r="D35" s="25" t="s">
        <v>100</v>
      </c>
      <c r="E35" s="30"/>
    </row>
    <row r="36" spans="2:5" ht="16.75" thickBot="1" x14ac:dyDescent="0.9">
      <c r="B36" s="24" t="s">
        <v>101</v>
      </c>
      <c r="C36" s="27" t="s">
        <v>102</v>
      </c>
      <c r="D36" s="25" t="s">
        <v>72</v>
      </c>
      <c r="E36" s="30"/>
    </row>
    <row r="37" spans="2:5" ht="32.75" thickBot="1" x14ac:dyDescent="0.9">
      <c r="B37" s="24" t="s">
        <v>103</v>
      </c>
      <c r="C37" s="27" t="s">
        <v>104</v>
      </c>
      <c r="D37" s="25" t="s">
        <v>105</v>
      </c>
      <c r="E37" s="30"/>
    </row>
    <row r="38" spans="2:5" ht="16.75" thickBot="1" x14ac:dyDescent="0.9">
      <c r="B38" s="24" t="s">
        <v>106</v>
      </c>
      <c r="C38" s="27" t="s">
        <v>107</v>
      </c>
      <c r="D38" s="25" t="s">
        <v>108</v>
      </c>
      <c r="E38" s="27" t="s">
        <v>96</v>
      </c>
    </row>
    <row r="39" spans="2:5" ht="16.75" thickBot="1" x14ac:dyDescent="0.9">
      <c r="B39" s="85" t="s">
        <v>109</v>
      </c>
      <c r="C39" s="86"/>
      <c r="D39" s="86"/>
      <c r="E39" s="87"/>
    </row>
    <row r="40" spans="2:5" ht="32.75" thickBot="1" x14ac:dyDescent="0.9">
      <c r="B40" s="24" t="s">
        <v>110</v>
      </c>
      <c r="C40" s="25" t="s">
        <v>111</v>
      </c>
      <c r="D40" s="25" t="s">
        <v>112</v>
      </c>
      <c r="E40" s="27" t="s">
        <v>113</v>
      </c>
    </row>
    <row r="41" spans="2:5" ht="32.75" thickBot="1" x14ac:dyDescent="0.9">
      <c r="B41" s="24" t="s">
        <v>114</v>
      </c>
      <c r="C41" s="25" t="s">
        <v>115</v>
      </c>
      <c r="D41" s="25" t="s">
        <v>116</v>
      </c>
      <c r="E41" s="27" t="s">
        <v>117</v>
      </c>
    </row>
    <row r="42" spans="2:5" ht="16.75" thickBot="1" x14ac:dyDescent="0.9">
      <c r="B42" s="24" t="s">
        <v>118</v>
      </c>
      <c r="C42" s="25" t="s">
        <v>119</v>
      </c>
      <c r="D42" s="25" t="s">
        <v>120</v>
      </c>
      <c r="E42" s="27" t="s">
        <v>96</v>
      </c>
    </row>
    <row r="43" spans="2:5" ht="16.75" thickBot="1" x14ac:dyDescent="0.9">
      <c r="B43" s="24" t="s">
        <v>121</v>
      </c>
      <c r="C43" s="25" t="s">
        <v>122</v>
      </c>
      <c r="D43" s="25" t="s">
        <v>123</v>
      </c>
      <c r="E43" s="26"/>
    </row>
    <row r="44" spans="2:5" ht="32.75" thickBot="1" x14ac:dyDescent="0.9">
      <c r="B44" s="24" t="s">
        <v>124</v>
      </c>
      <c r="C44" s="25" t="s">
        <v>125</v>
      </c>
      <c r="D44" s="25" t="s">
        <v>126</v>
      </c>
      <c r="E44" s="30"/>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74" t="s">
        <v>22</v>
      </c>
      <c r="C3" s="75"/>
      <c r="D3" s="23" t="s">
        <v>23</v>
      </c>
      <c r="E3" s="23" t="s">
        <v>24</v>
      </c>
    </row>
    <row r="4" spans="2:5" ht="15.5" thickBot="1" x14ac:dyDescent="0.9">
      <c r="B4" s="88" t="s">
        <v>127</v>
      </c>
      <c r="C4" s="89"/>
      <c r="D4" s="89"/>
      <c r="E4" s="90"/>
    </row>
    <row r="5" spans="2:5" ht="16.75" thickBot="1" x14ac:dyDescent="0.9">
      <c r="B5" s="24" t="s">
        <v>128</v>
      </c>
      <c r="C5" s="27" t="s">
        <v>129</v>
      </c>
      <c r="D5" s="25" t="s">
        <v>130</v>
      </c>
      <c r="E5" s="30"/>
    </row>
    <row r="6" spans="2:5" ht="16.75" thickBot="1" x14ac:dyDescent="0.9">
      <c r="B6" s="24" t="s">
        <v>131</v>
      </c>
      <c r="C6" s="27" t="s">
        <v>132</v>
      </c>
      <c r="D6" s="25" t="s">
        <v>133</v>
      </c>
      <c r="E6" s="27" t="s">
        <v>96</v>
      </c>
    </row>
    <row r="7" spans="2:5" ht="64.75" thickBot="1" x14ac:dyDescent="0.9">
      <c r="B7" s="24" t="s">
        <v>134</v>
      </c>
      <c r="C7" s="27" t="s">
        <v>135</v>
      </c>
      <c r="D7" s="25" t="s">
        <v>136</v>
      </c>
      <c r="E7" s="30"/>
    </row>
    <row r="8" spans="2:5" ht="16.75" thickBot="1" x14ac:dyDescent="0.9">
      <c r="B8" s="24" t="s">
        <v>137</v>
      </c>
      <c r="C8" s="27" t="s">
        <v>138</v>
      </c>
      <c r="D8" s="25" t="s">
        <v>72</v>
      </c>
      <c r="E8" s="30"/>
    </row>
    <row r="9" spans="2:5" ht="32.75" thickBot="1" x14ac:dyDescent="0.9">
      <c r="B9" s="24" t="s">
        <v>139</v>
      </c>
      <c r="C9" s="27" t="s">
        <v>140</v>
      </c>
      <c r="D9" s="25" t="s">
        <v>141</v>
      </c>
      <c r="E9" s="26"/>
    </row>
    <row r="10" spans="2:5" ht="32.75" thickBot="1" x14ac:dyDescent="0.9">
      <c r="B10" s="24" t="s">
        <v>142</v>
      </c>
      <c r="C10" s="27" t="s">
        <v>143</v>
      </c>
      <c r="D10" s="25" t="s">
        <v>144</v>
      </c>
      <c r="E10" s="30"/>
    </row>
    <row r="11" spans="2:5" ht="15.5" thickBot="1" x14ac:dyDescent="0.9">
      <c r="B11" s="91" t="s">
        <v>145</v>
      </c>
      <c r="C11" s="92"/>
      <c r="D11" s="92"/>
      <c r="E11" s="93"/>
    </row>
    <row r="12" spans="2:5" ht="32" x14ac:dyDescent="0.75">
      <c r="B12" s="79" t="s">
        <v>146</v>
      </c>
      <c r="C12" s="79" t="s">
        <v>147</v>
      </c>
      <c r="D12" s="79" t="s">
        <v>148</v>
      </c>
      <c r="E12" s="31" t="s">
        <v>149</v>
      </c>
    </row>
    <row r="13" spans="2:5" ht="16" x14ac:dyDescent="0.75">
      <c r="B13" s="80"/>
      <c r="C13" s="80"/>
      <c r="D13" s="80"/>
      <c r="E13" s="31" t="s">
        <v>150</v>
      </c>
    </row>
    <row r="14" spans="2:5" ht="16.75" thickBot="1" x14ac:dyDescent="0.9">
      <c r="B14" s="81"/>
      <c r="C14" s="81"/>
      <c r="D14" s="81"/>
      <c r="E14" s="27" t="s">
        <v>151</v>
      </c>
    </row>
    <row r="15" spans="2:5" ht="15.5" thickBot="1" x14ac:dyDescent="0.9">
      <c r="B15" s="91" t="s">
        <v>152</v>
      </c>
      <c r="C15" s="92"/>
      <c r="D15" s="92"/>
      <c r="E15" s="93"/>
    </row>
    <row r="16" spans="2:5" ht="32.75" thickBot="1" x14ac:dyDescent="0.9">
      <c r="B16" s="24" t="s">
        <v>153</v>
      </c>
      <c r="C16" s="27" t="s">
        <v>154</v>
      </c>
      <c r="D16" s="25" t="s">
        <v>155</v>
      </c>
      <c r="E16" s="30"/>
    </row>
    <row r="17" spans="2:5" ht="16.75" thickBot="1" x14ac:dyDescent="0.9">
      <c r="B17" s="24" t="s">
        <v>156</v>
      </c>
      <c r="C17" s="27" t="s">
        <v>157</v>
      </c>
      <c r="D17" s="25" t="s">
        <v>158</v>
      </c>
      <c r="E17" s="27" t="s">
        <v>150</v>
      </c>
    </row>
    <row r="18" spans="2:5" ht="16.75" thickBot="1" x14ac:dyDescent="0.9">
      <c r="B18" s="24" t="s">
        <v>159</v>
      </c>
      <c r="C18" s="27" t="s">
        <v>160</v>
      </c>
      <c r="D18" s="25" t="s">
        <v>161</v>
      </c>
      <c r="E18" s="27" t="s">
        <v>150</v>
      </c>
    </row>
    <row r="19" spans="2:5" ht="16.75" thickBot="1" x14ac:dyDescent="0.9">
      <c r="B19" s="24" t="s">
        <v>162</v>
      </c>
      <c r="C19" s="27" t="s">
        <v>163</v>
      </c>
      <c r="D19" s="25" t="s">
        <v>164</v>
      </c>
      <c r="E19" s="27" t="s">
        <v>96</v>
      </c>
    </row>
    <row r="20" spans="2:5" ht="16.75" thickBot="1" x14ac:dyDescent="0.9">
      <c r="B20" s="24" t="s">
        <v>165</v>
      </c>
      <c r="C20" s="27" t="s">
        <v>166</v>
      </c>
      <c r="D20" s="25" t="s">
        <v>167</v>
      </c>
      <c r="E20" s="27" t="s">
        <v>150</v>
      </c>
    </row>
    <row r="21" spans="2:5" ht="32.75" thickBot="1" x14ac:dyDescent="0.9">
      <c r="B21" s="24" t="s">
        <v>168</v>
      </c>
      <c r="C21" s="27" t="s">
        <v>169</v>
      </c>
      <c r="D21" s="25" t="s">
        <v>170</v>
      </c>
      <c r="E21" s="27" t="s">
        <v>150</v>
      </c>
    </row>
    <row r="22" spans="2:5" ht="16" x14ac:dyDescent="0.75">
      <c r="B22" s="79" t="s">
        <v>171</v>
      </c>
      <c r="C22" s="82" t="s">
        <v>172</v>
      </c>
      <c r="D22" s="79" t="s">
        <v>173</v>
      </c>
      <c r="E22" s="31" t="s">
        <v>150</v>
      </c>
    </row>
    <row r="23" spans="2:5" x14ac:dyDescent="0.75">
      <c r="B23" s="80"/>
      <c r="C23" s="83"/>
      <c r="D23" s="80"/>
      <c r="E23" s="29"/>
    </row>
    <row r="24" spans="2:5" ht="16.75" thickBot="1" x14ac:dyDescent="0.9">
      <c r="B24" s="81"/>
      <c r="C24" s="84"/>
      <c r="D24" s="81"/>
      <c r="E24" s="27" t="s">
        <v>174</v>
      </c>
    </row>
    <row r="25" spans="2:5" ht="32.75" thickBot="1" x14ac:dyDescent="0.9">
      <c r="B25" s="24" t="s">
        <v>175</v>
      </c>
      <c r="C25" s="27" t="s">
        <v>176</v>
      </c>
      <c r="D25" s="25" t="s">
        <v>177</v>
      </c>
      <c r="E25" s="27" t="s">
        <v>150</v>
      </c>
    </row>
    <row r="26" spans="2:5" ht="16.75" thickBot="1" x14ac:dyDescent="0.9">
      <c r="B26" s="24" t="s">
        <v>178</v>
      </c>
      <c r="C26" s="27" t="s">
        <v>179</v>
      </c>
      <c r="D26" s="25" t="s">
        <v>180</v>
      </c>
      <c r="E26" s="27" t="s">
        <v>96</v>
      </c>
    </row>
    <row r="27" spans="2:5" ht="16.75" thickBot="1" x14ac:dyDescent="0.9">
      <c r="B27" s="85" t="s">
        <v>181</v>
      </c>
      <c r="C27" s="86"/>
      <c r="D27" s="86"/>
      <c r="E27" s="87"/>
    </row>
    <row r="28" spans="2:5" ht="16.75" thickBot="1" x14ac:dyDescent="0.9">
      <c r="B28" s="85" t="s">
        <v>182</v>
      </c>
      <c r="C28" s="86"/>
      <c r="D28" s="86"/>
      <c r="E28" s="87"/>
    </row>
    <row r="29" spans="2:5" ht="16.75" thickBot="1" x14ac:dyDescent="0.9">
      <c r="B29" s="24" t="s">
        <v>183</v>
      </c>
      <c r="C29" s="27" t="s">
        <v>184</v>
      </c>
      <c r="D29" s="25" t="s">
        <v>185</v>
      </c>
      <c r="E29" s="30"/>
    </row>
    <row r="30" spans="2:5" ht="48.75" thickBot="1" x14ac:dyDescent="0.9">
      <c r="B30" s="24" t="s">
        <v>186</v>
      </c>
      <c r="C30" s="27" t="s">
        <v>187</v>
      </c>
      <c r="D30" s="25" t="s">
        <v>188</v>
      </c>
      <c r="E30" s="30"/>
    </row>
    <row r="31" spans="2:5" ht="16.75" thickBot="1" x14ac:dyDescent="0.9">
      <c r="B31" s="85" t="s">
        <v>189</v>
      </c>
      <c r="C31" s="86"/>
      <c r="D31" s="86"/>
      <c r="E31" s="87"/>
    </row>
    <row r="32" spans="2:5" ht="16.75" thickBot="1" x14ac:dyDescent="0.9">
      <c r="B32" s="24" t="s">
        <v>190</v>
      </c>
      <c r="C32" s="27" t="s">
        <v>191</v>
      </c>
      <c r="D32" s="25" t="s">
        <v>192</v>
      </c>
      <c r="E32" s="27" t="s">
        <v>96</v>
      </c>
    </row>
    <row r="33" spans="2:5" ht="16" x14ac:dyDescent="0.75">
      <c r="B33" s="79" t="s">
        <v>193</v>
      </c>
      <c r="C33" s="82" t="s">
        <v>194</v>
      </c>
      <c r="D33" s="79" t="s">
        <v>195</v>
      </c>
      <c r="E33" s="31" t="s">
        <v>113</v>
      </c>
    </row>
    <row r="34" spans="2:5" ht="16" x14ac:dyDescent="0.75">
      <c r="B34" s="80"/>
      <c r="C34" s="83"/>
      <c r="D34" s="80"/>
      <c r="E34" s="31" t="s">
        <v>196</v>
      </c>
    </row>
    <row r="35" spans="2:5" ht="16.75" thickBot="1" x14ac:dyDescent="0.9">
      <c r="B35" s="81"/>
      <c r="C35" s="84"/>
      <c r="D35" s="81"/>
      <c r="E35" s="27" t="s">
        <v>150</v>
      </c>
    </row>
    <row r="36" spans="2:5" ht="32.75" thickBot="1" x14ac:dyDescent="0.9">
      <c r="B36" s="24" t="s">
        <v>197</v>
      </c>
      <c r="C36" s="27" t="s">
        <v>198</v>
      </c>
      <c r="D36" s="25" t="s">
        <v>199</v>
      </c>
      <c r="E36" s="26"/>
    </row>
    <row r="37" spans="2:5" ht="32.75" thickBot="1" x14ac:dyDescent="0.9">
      <c r="B37" s="24" t="s">
        <v>200</v>
      </c>
      <c r="C37" s="27" t="s">
        <v>201</v>
      </c>
      <c r="D37" s="25" t="s">
        <v>202</v>
      </c>
      <c r="E37" s="26"/>
    </row>
    <row r="38" spans="2:5" ht="32.75" thickBot="1" x14ac:dyDescent="0.9">
      <c r="B38" s="24" t="s">
        <v>203</v>
      </c>
      <c r="C38" s="27" t="s">
        <v>204</v>
      </c>
      <c r="D38" s="25" t="s">
        <v>205</v>
      </c>
      <c r="E38" s="26"/>
    </row>
    <row r="39" spans="2:5" ht="16.75" thickBot="1" x14ac:dyDescent="0.9">
      <c r="B39" s="24" t="s">
        <v>206</v>
      </c>
      <c r="C39" s="27" t="s">
        <v>207</v>
      </c>
      <c r="D39" s="25" t="s">
        <v>208</v>
      </c>
      <c r="E39" s="27" t="s">
        <v>150</v>
      </c>
    </row>
    <row r="40" spans="2:5" ht="16" x14ac:dyDescent="0.75">
      <c r="B40" s="79" t="s">
        <v>209</v>
      </c>
      <c r="C40" s="82" t="s">
        <v>210</v>
      </c>
      <c r="D40" s="79" t="s">
        <v>211</v>
      </c>
      <c r="E40" s="31" t="s">
        <v>150</v>
      </c>
    </row>
    <row r="41" spans="2:5" x14ac:dyDescent="0.75">
      <c r="B41" s="80"/>
      <c r="C41" s="83"/>
      <c r="D41" s="80"/>
      <c r="E41" s="29"/>
    </row>
    <row r="42" spans="2:5" ht="16.75" thickBot="1" x14ac:dyDescent="0.9">
      <c r="B42" s="81"/>
      <c r="C42" s="84"/>
      <c r="D42" s="81"/>
      <c r="E42" s="27" t="s">
        <v>174</v>
      </c>
    </row>
    <row r="43" spans="2:5" ht="16.75" thickBot="1" x14ac:dyDescent="0.9">
      <c r="B43" s="24" t="s">
        <v>212</v>
      </c>
      <c r="C43" s="27" t="s">
        <v>213</v>
      </c>
      <c r="D43" s="25" t="s">
        <v>214</v>
      </c>
      <c r="E43" s="26"/>
    </row>
    <row r="44" spans="2:5" ht="32.75" thickBot="1" x14ac:dyDescent="0.9">
      <c r="B44" s="24" t="s">
        <v>215</v>
      </c>
      <c r="C44" s="27" t="s">
        <v>216</v>
      </c>
      <c r="D44" s="25" t="s">
        <v>217</v>
      </c>
      <c r="E44" s="26"/>
    </row>
    <row r="45" spans="2:5" ht="32.75" thickBot="1" x14ac:dyDescent="0.9">
      <c r="B45" s="24" t="s">
        <v>218</v>
      </c>
      <c r="C45" s="27" t="s">
        <v>219</v>
      </c>
      <c r="D45" s="25" t="s">
        <v>220</v>
      </c>
      <c r="E45" s="26"/>
    </row>
    <row r="46" spans="2:5" ht="64" x14ac:dyDescent="0.75">
      <c r="B46" s="79" t="s">
        <v>221</v>
      </c>
      <c r="C46" s="82" t="s">
        <v>222</v>
      </c>
      <c r="D46" s="79" t="s">
        <v>223</v>
      </c>
      <c r="E46" s="31" t="s">
        <v>224</v>
      </c>
    </row>
    <row r="47" spans="2:5" x14ac:dyDescent="0.75">
      <c r="B47" s="80"/>
      <c r="C47" s="83"/>
      <c r="D47" s="80"/>
      <c r="E47" s="32"/>
    </row>
    <row r="48" spans="2:5" ht="16.75" thickBot="1" x14ac:dyDescent="0.9">
      <c r="B48" s="81"/>
      <c r="C48" s="84"/>
      <c r="D48" s="81"/>
      <c r="E48" s="27" t="s">
        <v>225</v>
      </c>
    </row>
    <row r="49" spans="2:5" ht="16" x14ac:dyDescent="0.75">
      <c r="B49" s="79" t="s">
        <v>226</v>
      </c>
      <c r="C49" s="82" t="s">
        <v>227</v>
      </c>
      <c r="D49" s="79" t="s">
        <v>228</v>
      </c>
      <c r="E49" s="31" t="s">
        <v>150</v>
      </c>
    </row>
    <row r="50" spans="2:5" x14ac:dyDescent="0.75">
      <c r="B50" s="80"/>
      <c r="C50" s="83"/>
      <c r="D50" s="80"/>
      <c r="E50" s="29"/>
    </row>
    <row r="51" spans="2:5" ht="48.75" thickBot="1" x14ac:dyDescent="0.9">
      <c r="B51" s="81"/>
      <c r="C51" s="84"/>
      <c r="D51" s="81"/>
      <c r="E51" s="27" t="s">
        <v>229</v>
      </c>
    </row>
    <row r="52" spans="2:5" ht="16.75" thickBot="1" x14ac:dyDescent="0.9">
      <c r="B52" s="24" t="s">
        <v>230</v>
      </c>
      <c r="C52" s="27" t="s">
        <v>231</v>
      </c>
      <c r="D52" s="25" t="s">
        <v>232</v>
      </c>
      <c r="E52" s="26"/>
    </row>
    <row r="53" spans="2:5" ht="16.75" thickBot="1" x14ac:dyDescent="0.9">
      <c r="B53" s="24" t="s">
        <v>233</v>
      </c>
      <c r="C53" s="27" t="s">
        <v>234</v>
      </c>
      <c r="D53" s="25" t="s">
        <v>235</v>
      </c>
      <c r="E53" s="26"/>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D5:G16"/>
  <sheetViews>
    <sheetView workbookViewId="0">
      <selection activeCell="D6" sqref="D6:G16"/>
    </sheetView>
  </sheetViews>
  <sheetFormatPr defaultColWidth="12.58984375" defaultRowHeight="14.75" x14ac:dyDescent="0.75"/>
  <cols>
    <col min="4" max="4" width="16.6328125" customWidth="1"/>
    <col min="5" max="5" width="12.54296875" bestFit="1" customWidth="1"/>
    <col min="6" max="6" width="48.04296875" customWidth="1"/>
  </cols>
  <sheetData>
    <row r="5" spans="4:7" ht="15.5" thickBot="1" x14ac:dyDescent="0.9"/>
    <row r="6" spans="4:7" ht="104" thickBot="1" x14ac:dyDescent="0.9">
      <c r="D6" s="67" t="s">
        <v>575</v>
      </c>
      <c r="E6" s="68" t="s">
        <v>552</v>
      </c>
      <c r="F6" s="68" t="s">
        <v>553</v>
      </c>
      <c r="G6" s="68"/>
    </row>
    <row r="7" spans="4:7" ht="45" thickBot="1" x14ac:dyDescent="0.9">
      <c r="D7" s="67" t="s">
        <v>577</v>
      </c>
      <c r="E7" s="70" t="s">
        <v>554</v>
      </c>
      <c r="F7" s="70" t="s">
        <v>555</v>
      </c>
      <c r="G7" s="70"/>
    </row>
    <row r="8" spans="4:7" ht="45" thickBot="1" x14ac:dyDescent="0.9">
      <c r="D8" s="67" t="s">
        <v>578</v>
      </c>
      <c r="E8" s="70" t="s">
        <v>556</v>
      </c>
      <c r="F8" s="70" t="s">
        <v>557</v>
      </c>
      <c r="G8" s="70"/>
    </row>
    <row r="9" spans="4:7" ht="59.75" thickBot="1" x14ac:dyDescent="0.9">
      <c r="D9" s="67" t="s">
        <v>579</v>
      </c>
      <c r="E9" s="70" t="s">
        <v>558</v>
      </c>
      <c r="F9" s="70" t="s">
        <v>559</v>
      </c>
      <c r="G9" s="70"/>
    </row>
    <row r="10" spans="4:7" ht="45" thickBot="1" x14ac:dyDescent="0.9">
      <c r="D10" s="67" t="s">
        <v>580</v>
      </c>
      <c r="E10" s="70" t="s">
        <v>560</v>
      </c>
      <c r="F10" s="70" t="s">
        <v>561</v>
      </c>
      <c r="G10" s="70"/>
    </row>
    <row r="11" spans="4:7" ht="45" thickBot="1" x14ac:dyDescent="0.9">
      <c r="D11" s="67" t="s">
        <v>581</v>
      </c>
      <c r="E11" s="70" t="s">
        <v>562</v>
      </c>
      <c r="F11" s="70" t="s">
        <v>563</v>
      </c>
      <c r="G11" s="70"/>
    </row>
    <row r="12" spans="4:7" ht="45" thickBot="1" x14ac:dyDescent="0.9">
      <c r="D12" s="67" t="s">
        <v>582</v>
      </c>
      <c r="E12" s="70" t="s">
        <v>564</v>
      </c>
      <c r="F12" s="70" t="s">
        <v>565</v>
      </c>
      <c r="G12" s="70"/>
    </row>
    <row r="13" spans="4:7" ht="74.5" thickBot="1" x14ac:dyDescent="0.9">
      <c r="D13" s="67" t="s">
        <v>583</v>
      </c>
      <c r="E13" s="72" t="s">
        <v>566</v>
      </c>
      <c r="F13" s="71" t="s">
        <v>576</v>
      </c>
      <c r="G13" s="72"/>
    </row>
    <row r="14" spans="4:7" ht="59.75" thickBot="1" x14ac:dyDescent="0.9">
      <c r="D14" s="67" t="s">
        <v>584</v>
      </c>
      <c r="E14" s="70" t="s">
        <v>567</v>
      </c>
      <c r="F14" s="70" t="s">
        <v>568</v>
      </c>
      <c r="G14" t="s">
        <v>585</v>
      </c>
    </row>
    <row r="15" spans="4:7" ht="30.25" thickBot="1" x14ac:dyDescent="0.9">
      <c r="D15" s="67" t="s">
        <v>569</v>
      </c>
      <c r="E15" s="68" t="s">
        <v>570</v>
      </c>
      <c r="F15" s="68" t="s">
        <v>571</v>
      </c>
      <c r="G15" s="68" t="s">
        <v>96</v>
      </c>
    </row>
    <row r="16" spans="4:7" ht="30.25" thickBot="1" x14ac:dyDescent="0.9">
      <c r="D16" s="69" t="s">
        <v>572</v>
      </c>
      <c r="E16" s="70" t="s">
        <v>573</v>
      </c>
      <c r="F16" s="70" t="s">
        <v>574</v>
      </c>
      <c r="G16" s="70"/>
    </row>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20" t="s">
        <v>21</v>
      </c>
      <c r="L1" s="20" t="s">
        <v>21</v>
      </c>
    </row>
    <row r="2" spans="1:12" x14ac:dyDescent="0.75">
      <c r="A2" s="61" t="s">
        <v>349</v>
      </c>
      <c r="B2" s="62" t="s">
        <v>313</v>
      </c>
      <c r="J2" s="21" t="s">
        <v>20</v>
      </c>
      <c r="L2" s="21" t="s">
        <v>289</v>
      </c>
    </row>
    <row r="3" spans="1:12" ht="15.5" thickBot="1" x14ac:dyDescent="0.9">
      <c r="J3" s="21" t="str">
        <f>J1</f>
        <v>// -------------------------------------------------------------------------------</v>
      </c>
      <c r="L3" s="21" t="str">
        <f>L1</f>
        <v>// -------------------------------------------------------------------------------</v>
      </c>
    </row>
    <row r="4" spans="1:12" x14ac:dyDescent="0.75">
      <c r="A4" s="5" t="s">
        <v>14</v>
      </c>
      <c r="B4" s="12" t="s">
        <v>236</v>
      </c>
      <c r="J4" s="18" t="str">
        <f>CONCATENATE("Logical: ",B4)</f>
        <v>Logical: LabReportEhn</v>
      </c>
    </row>
    <row r="5" spans="1:12" x14ac:dyDescent="0.75">
      <c r="A5" s="13" t="s">
        <v>17</v>
      </c>
      <c r="B5" s="22" t="s">
        <v>237</v>
      </c>
      <c r="J5" s="18" t="str">
        <f>CONCATENATE("Id: ",B5)</f>
        <v>Id: LabReport</v>
      </c>
    </row>
    <row r="6" spans="1:12" x14ac:dyDescent="0.75">
      <c r="A6" s="13" t="s">
        <v>13</v>
      </c>
      <c r="B6" s="14" t="s">
        <v>318</v>
      </c>
      <c r="J6" s="19" t="str">
        <f>CONCATENATE("Title: ##34#",B6,"##34#")</f>
        <v>Title: ##34#A - Laboratory Report##34#</v>
      </c>
    </row>
    <row r="7" spans="1:12" x14ac:dyDescent="0.75">
      <c r="A7" s="34" t="s">
        <v>5</v>
      </c>
      <c r="B7" s="35" t="s">
        <v>350</v>
      </c>
      <c r="C7" s="9" t="s">
        <v>6</v>
      </c>
      <c r="D7" s="2" t="s">
        <v>7</v>
      </c>
      <c r="E7" s="3" t="s">
        <v>8</v>
      </c>
      <c r="F7" s="3" t="s">
        <v>9</v>
      </c>
      <c r="G7" s="3" t="s">
        <v>10</v>
      </c>
      <c r="H7" s="41" t="s">
        <v>288</v>
      </c>
      <c r="J7" s="19" t="str">
        <f>CONCATENATE("Description: "," ##334#",B7,"##334#",)</f>
        <v>Description:  ##334#Laboratory Report. eHN guideline model.##334#</v>
      </c>
    </row>
    <row r="8" spans="1:12" ht="29.5" x14ac:dyDescent="0.75">
      <c r="A8" s="7">
        <v>1</v>
      </c>
      <c r="B8" s="7" t="s">
        <v>238</v>
      </c>
      <c r="C8" s="7" t="s">
        <v>25</v>
      </c>
      <c r="D8" s="10" t="s">
        <v>25</v>
      </c>
      <c r="E8" s="7">
        <v>1</v>
      </c>
      <c r="F8" s="7">
        <v>1</v>
      </c>
      <c r="G8" s="7" t="s">
        <v>4</v>
      </c>
      <c r="H8" s="10"/>
      <c r="I8" s="33"/>
      <c r="J8" s="10" t="str">
        <f t="shared" ref="J8:J31" si="0">CONCATENATE("* ",B8, " ",E8,"..",F8," ",G8," ##34#",C8,"##34# ##334#",D8,"##334#")</f>
        <v>* header 1..1 BackboneElement ##34#A.1 Report header data elements##34# ##334#A.1 Report header data elements##334#</v>
      </c>
      <c r="L8" s="10" t="str">
        <f>IF(H8="",IF(J8="*  ..  ##34###34# ##334###334#",J8,""),IF(J8="*  ..  ##34###34# ##334###334#",J8,CONCATENATE("* ",B8," ^comment = ##334#",H8,"##334#")))</f>
        <v/>
      </c>
    </row>
    <row r="9" spans="1:12" ht="44.25" x14ac:dyDescent="0.75">
      <c r="A9" s="7">
        <v>2</v>
      </c>
      <c r="B9" s="7" t="s">
        <v>239</v>
      </c>
      <c r="C9" s="7" t="s">
        <v>264</v>
      </c>
      <c r="D9" s="7" t="s">
        <v>261</v>
      </c>
      <c r="E9" s="7">
        <v>1</v>
      </c>
      <c r="F9" s="7">
        <v>1</v>
      </c>
      <c r="G9" s="7" t="str">
        <f>$B$2&amp;"/StructureDefinition/"&amp;I9</f>
        <v>http://hl7.eu/fhir/laboratory/StructureDefinition/Subject</v>
      </c>
      <c r="H9" s="10"/>
      <c r="I9" s="7" t="s">
        <v>12</v>
      </c>
      <c r="J9" s="10" t="str">
        <f t="shared" si="0"/>
        <v>* header.subject 1..1 http://hl7.eu/fhir/laboratory/StructureDefinition/Subject ##34#A.1.1 - A1.2 Patient/subject##34# ##334#A.1.1 Identification of the patient/subject and A.1.2 Patient/subject related contact information  ##334#</v>
      </c>
      <c r="L9" s="10" t="str">
        <f t="shared" ref="L9:L31" si="1">IF(H9="",IF(J9="*  ..  ##34###34# ##334###334#",J9,""),IF(J9="*  ..  ##34###34# ##334###334#",J9,CONCATENATE("* ",B9," ^comment = ##334#",H9,"##334#")))</f>
        <v/>
      </c>
    </row>
    <row r="10" spans="1:12" ht="44.25" x14ac:dyDescent="0.75">
      <c r="A10" s="7">
        <v>3</v>
      </c>
      <c r="B10" s="7" t="s">
        <v>270</v>
      </c>
      <c r="C10" s="7" t="s">
        <v>262</v>
      </c>
      <c r="D10" s="7" t="s">
        <v>262</v>
      </c>
      <c r="E10" s="7">
        <v>0</v>
      </c>
      <c r="F10" s="7">
        <v>1</v>
      </c>
      <c r="G10" s="7" t="str">
        <f>$B$2&amp;"/StructureDefinition/"&amp;I10</f>
        <v>http://hl7.eu/fhir/laboratory/StructureDefinition/Payer</v>
      </c>
      <c r="H10" s="10"/>
      <c r="I10" s="33" t="s">
        <v>271</v>
      </c>
      <c r="J10" s="10" t="str">
        <f t="shared" si="0"/>
        <v>* header.payer 0..1 http://hl7.eu/fhir/laboratory/StructureDefinition/Payer ##34#A.1.3 Health insurance and payment information##34# ##334#A.1.3 Health insurance and payment information##334#</v>
      </c>
      <c r="L10" s="10" t="str">
        <f t="shared" si="1"/>
        <v/>
      </c>
    </row>
    <row r="11" spans="1:12" ht="73.75" x14ac:dyDescent="0.75">
      <c r="A11" s="7">
        <v>4</v>
      </c>
      <c r="B11" s="7" t="s">
        <v>248</v>
      </c>
      <c r="C11" s="10" t="s">
        <v>240</v>
      </c>
      <c r="D11" s="10" t="s">
        <v>263</v>
      </c>
      <c r="E11" s="7">
        <v>0</v>
      </c>
      <c r="F11" s="7">
        <v>1</v>
      </c>
      <c r="G11" s="7" t="str">
        <f t="shared" ref="G11:G13" si="2">$B$2&amp;"/StructureDefinition/"&amp;I11</f>
        <v>http://hl7.eu/fhir/laboratory/StructureDefinition/Recipient</v>
      </c>
      <c r="H11" s="10"/>
      <c r="I11" s="7" t="s">
        <v>279</v>
      </c>
      <c r="J11" s="10"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0" t="str">
        <f t="shared" si="1"/>
        <v/>
      </c>
    </row>
    <row r="12" spans="1:12" ht="44.25" x14ac:dyDescent="0.75">
      <c r="A12" s="7">
        <v>5</v>
      </c>
      <c r="B12" s="7" t="s">
        <v>276</v>
      </c>
      <c r="C12" s="10" t="s">
        <v>275</v>
      </c>
      <c r="D12" s="10" t="s">
        <v>76</v>
      </c>
      <c r="E12" s="7">
        <v>0</v>
      </c>
      <c r="F12" s="7" t="s">
        <v>11</v>
      </c>
      <c r="G12" s="7" t="str">
        <f t="shared" si="2"/>
        <v>http://hl7.eu/fhir/laboratory/StructureDefinition/Author</v>
      </c>
      <c r="H12" s="10"/>
      <c r="I12" s="7" t="s">
        <v>280</v>
      </c>
      <c r="J12" s="10" t="str">
        <f t="shared" si="0"/>
        <v>* header.author 0..* http://hl7.eu/fhir/laboratory/StructureDefinition/Author ##34#A.1.5 Author##34# ##334#A.1.5 Author (by whom the Laboratory result report or a subset of its results was authored)##334#</v>
      </c>
      <c r="L12" s="10" t="str">
        <f t="shared" si="1"/>
        <v/>
      </c>
    </row>
    <row r="13" spans="1:12" ht="59" x14ac:dyDescent="0.75">
      <c r="A13" s="7">
        <v>6</v>
      </c>
      <c r="B13" s="7" t="s">
        <v>277</v>
      </c>
      <c r="C13" s="10" t="s">
        <v>286</v>
      </c>
      <c r="D13" s="10" t="s">
        <v>85</v>
      </c>
      <c r="E13" s="7">
        <v>0</v>
      </c>
      <c r="F13" s="7" t="s">
        <v>11</v>
      </c>
      <c r="G13" s="7" t="str">
        <f t="shared" si="2"/>
        <v>http://hl7.eu/fhir/laboratory/StructureDefinition/LegalAuthenticator</v>
      </c>
      <c r="H13" s="10"/>
      <c r="I13" s="7" t="s">
        <v>278</v>
      </c>
      <c r="J13" s="10" t="str">
        <f t="shared" si="0"/>
        <v>* header.legalAuthenticator 0..* http://hl7.eu/fhir/laboratory/StructureDefinition/LegalAuthenticator ##34#A.1.6 Legal authenticator##34# ##334#A.1.6 Legal authenticator (The person taking responsibility for the medical content of the document)##334#</v>
      </c>
      <c r="L13" s="10" t="str">
        <f t="shared" si="1"/>
        <v/>
      </c>
    </row>
    <row r="14" spans="1:12" ht="44.25" x14ac:dyDescent="0.75">
      <c r="A14" s="7">
        <v>7</v>
      </c>
      <c r="B14" s="7" t="s">
        <v>249</v>
      </c>
      <c r="C14" s="10" t="s">
        <v>97</v>
      </c>
      <c r="D14" s="10" t="s">
        <v>97</v>
      </c>
      <c r="E14" s="7">
        <v>0</v>
      </c>
      <c r="F14" s="7" t="s">
        <v>11</v>
      </c>
      <c r="G14" s="7" t="str">
        <f>$B$2&amp;"/StructureDefinition/"&amp;I14</f>
        <v>http://hl7.eu/fhir/laboratory/StructureDefinition/Validator</v>
      </c>
      <c r="H14" s="10"/>
      <c r="I14" s="36" t="s">
        <v>281</v>
      </c>
      <c r="J14" s="10" t="str">
        <f t="shared" si="0"/>
        <v>* header.validator 0..* http://hl7.eu/fhir/laboratory/StructureDefinition/Validator ##34#A.1.7 Result validator##34# ##334#A.1.7 Result validator##334#</v>
      </c>
      <c r="L14" s="10" t="str">
        <f t="shared" si="1"/>
        <v/>
      </c>
    </row>
    <row r="15" spans="1:12" ht="29.5" x14ac:dyDescent="0.75">
      <c r="A15" s="7">
        <v>8</v>
      </c>
      <c r="B15" s="7" t="s">
        <v>250</v>
      </c>
      <c r="C15" s="7" t="s">
        <v>109</v>
      </c>
      <c r="D15" s="7" t="s">
        <v>109</v>
      </c>
      <c r="E15" s="7">
        <v>1</v>
      </c>
      <c r="F15" s="7">
        <v>1</v>
      </c>
      <c r="G15" s="7" t="s">
        <v>4</v>
      </c>
      <c r="H15" s="10"/>
      <c r="I15" s="33"/>
      <c r="J15" s="10" t="str">
        <f t="shared" si="0"/>
        <v>* header.metadata 1..1 BackboneElement ##34#A.1.8 Laboratory report metadata##34# ##334#A.1.8 Laboratory report metadata##334#</v>
      </c>
      <c r="L15" s="10" t="str">
        <f t="shared" si="1"/>
        <v/>
      </c>
    </row>
    <row r="16" spans="1:12" ht="29.5" x14ac:dyDescent="0.75">
      <c r="A16" s="7">
        <v>9</v>
      </c>
      <c r="B16" s="7" t="s">
        <v>333</v>
      </c>
      <c r="C16" s="7" t="s">
        <v>331</v>
      </c>
      <c r="D16" s="7" t="s">
        <v>332</v>
      </c>
      <c r="E16" s="7">
        <v>1</v>
      </c>
      <c r="F16" s="7">
        <v>1</v>
      </c>
      <c r="G16" s="7" t="s">
        <v>0</v>
      </c>
      <c r="H16" s="10"/>
      <c r="I16" s="33"/>
      <c r="J16" s="10" t="str">
        <f t="shared" si="0"/>
        <v>* header.metadata.documentId 1..1 Identifier ##34#A.1.8.0 Document Id##34# ##334#Unique identifier of the document##334#</v>
      </c>
      <c r="L16" s="10" t="str">
        <f t="shared" si="1"/>
        <v/>
      </c>
    </row>
    <row r="17" spans="1:13" ht="44.25" x14ac:dyDescent="0.75">
      <c r="A17" s="7">
        <v>10</v>
      </c>
      <c r="B17" s="7" t="s">
        <v>251</v>
      </c>
      <c r="C17" s="7" t="s">
        <v>241</v>
      </c>
      <c r="D17" s="10" t="s">
        <v>245</v>
      </c>
      <c r="E17" s="7">
        <v>1</v>
      </c>
      <c r="F17" s="7">
        <v>1</v>
      </c>
      <c r="G17" s="7" t="s">
        <v>1</v>
      </c>
      <c r="H17" s="10"/>
      <c r="I17" s="33"/>
      <c r="J17" s="10" t="str">
        <f t="shared" si="0"/>
        <v>* header.metadata.type 1..1 CodeableConcept ##34#A.1.8.1 Document type##34# ##334#A coded type of the document. Fixed value "Laboratory report" - Preferred system(s): LOINC##334#</v>
      </c>
      <c r="L17" s="10" t="str">
        <f t="shared" si="1"/>
        <v/>
      </c>
    </row>
    <row r="18" spans="1:13" ht="44.25" x14ac:dyDescent="0.75">
      <c r="A18" s="7">
        <v>11</v>
      </c>
      <c r="B18" s="7" t="s">
        <v>252</v>
      </c>
      <c r="C18" s="7" t="s">
        <v>242</v>
      </c>
      <c r="D18" s="10" t="s">
        <v>246</v>
      </c>
      <c r="E18" s="7">
        <v>1</v>
      </c>
      <c r="F18" s="7">
        <v>1</v>
      </c>
      <c r="G18" s="7" t="s">
        <v>1</v>
      </c>
      <c r="H18" s="10"/>
      <c r="I18" s="33"/>
      <c r="J18" s="10" t="str">
        <f t="shared" si="0"/>
        <v>* header.metadata.status 1..1 CodeableConcept ##34#A.1.8.2 Document status##34# ##334#The status of the laboratory test result report. E.g., preliminary, final. - Preferred system(s): hl7:DiagnosticReportStatus##334#</v>
      </c>
      <c r="K18" s="11"/>
      <c r="L18" s="10" t="str">
        <f t="shared" si="1"/>
        <v/>
      </c>
      <c r="M18" s="7"/>
    </row>
    <row r="19" spans="1:13" ht="44.25" x14ac:dyDescent="0.75">
      <c r="A19" s="7">
        <v>12</v>
      </c>
      <c r="B19" s="7" t="s">
        <v>253</v>
      </c>
      <c r="C19" s="7" t="s">
        <v>243</v>
      </c>
      <c r="D19" s="10" t="s">
        <v>247</v>
      </c>
      <c r="E19" s="7">
        <v>1</v>
      </c>
      <c r="F19" s="7">
        <v>1</v>
      </c>
      <c r="G19" s="7" t="s">
        <v>2</v>
      </c>
      <c r="H19" s="10"/>
      <c r="J19" s="10" t="str">
        <f t="shared" si="0"/>
        <v>* header.metadata.dateTime 1..1 dateTime ##34#A.1.8.3 Report date and time##34# ##334#Date and time of the result report creation. - Preferred system(s): ISO 8601##334#</v>
      </c>
      <c r="L19" s="10" t="str">
        <f t="shared" si="1"/>
        <v/>
      </c>
    </row>
    <row r="20" spans="1:13" ht="29.5" x14ac:dyDescent="0.75">
      <c r="A20" s="7">
        <v>13</v>
      </c>
      <c r="B20" s="7" t="s">
        <v>254</v>
      </c>
      <c r="C20" s="7" t="s">
        <v>244</v>
      </c>
      <c r="D20" s="10" t="s">
        <v>348</v>
      </c>
      <c r="E20" s="7">
        <v>0</v>
      </c>
      <c r="F20" s="7">
        <v>1</v>
      </c>
      <c r="G20" s="7" t="s">
        <v>3</v>
      </c>
      <c r="H20" s="10"/>
      <c r="J20" s="10" t="str">
        <f t="shared" si="0"/>
        <v>* header.metadata.title 0..1 string ##34#A.1.8.4 Document title##34# ##334#Document title, e.g. 'Laboratory Result report'##334#</v>
      </c>
      <c r="L20" s="10" t="str">
        <f t="shared" si="1"/>
        <v/>
      </c>
    </row>
    <row r="21" spans="1:13" ht="44.25" x14ac:dyDescent="0.75">
      <c r="A21" s="7">
        <v>14</v>
      </c>
      <c r="B21" s="7" t="s">
        <v>337</v>
      </c>
      <c r="C21" s="7" t="s">
        <v>335</v>
      </c>
      <c r="D21" s="10" t="s">
        <v>336</v>
      </c>
      <c r="E21" s="7">
        <v>0</v>
      </c>
      <c r="F21" s="7" t="s">
        <v>11</v>
      </c>
      <c r="G21" s="7" t="s">
        <v>1</v>
      </c>
      <c r="H21" s="10"/>
      <c r="J21" s="10" t="str">
        <f t="shared" si="0"/>
        <v>* header.metadata.studyType 0..* CodeableConcept ##34#A.1.8.5 Study type##34# ##334#Type (or types) of the laboratory study performed.  - Preferred system(s): LOINC SNOMED CT ##334#</v>
      </c>
      <c r="L21" s="10" t="str">
        <f t="shared" si="1"/>
        <v/>
      </c>
    </row>
    <row r="22" spans="1:13" ht="45" thickBot="1" x14ac:dyDescent="0.9">
      <c r="A22" s="7">
        <v>15</v>
      </c>
      <c r="B22" s="7" t="s">
        <v>255</v>
      </c>
      <c r="C22" s="7" t="s">
        <v>338</v>
      </c>
      <c r="D22" s="10" t="s">
        <v>334</v>
      </c>
      <c r="E22" s="7">
        <v>0</v>
      </c>
      <c r="F22" s="7">
        <v>1</v>
      </c>
      <c r="G22" s="7" t="s">
        <v>4</v>
      </c>
      <c r="H22" s="10"/>
      <c r="J22" s="10" t="str">
        <f t="shared" si="0"/>
        <v>* header.metadata.custodian 0..1 BackboneElement ##34#A.1.8.6 Report custodian##34# ##334#Organisation that is in charge of maintaining the laboratory report ##334#</v>
      </c>
      <c r="L22" s="10" t="str">
        <f t="shared" si="1"/>
        <v/>
      </c>
    </row>
    <row r="23" spans="1:13" ht="45" thickBot="1" x14ac:dyDescent="0.9">
      <c r="A23" s="7">
        <v>16</v>
      </c>
      <c r="B23" s="7" t="s">
        <v>343</v>
      </c>
      <c r="C23" s="57" t="s">
        <v>339</v>
      </c>
      <c r="D23" s="58" t="s">
        <v>344</v>
      </c>
      <c r="E23" s="7">
        <v>0</v>
      </c>
      <c r="F23" s="7">
        <v>1</v>
      </c>
      <c r="G23" s="7" t="s">
        <v>1</v>
      </c>
      <c r="H23" s="10"/>
      <c r="J23" s="10" t="str">
        <f t="shared" si="0"/>
        <v>* header.metadata.confidentiality 0..1 CodeableConcept ##34#A.1.8.7 Confidentiality##34# ##334#Level of confidentiality of the document. Implicit value is normal. - Preferred system(s): hl7:Confidentiality##334#</v>
      </c>
      <c r="L23" s="10" t="str">
        <f t="shared" si="1"/>
        <v/>
      </c>
    </row>
    <row r="24" spans="1:13" ht="45" thickBot="1" x14ac:dyDescent="0.9">
      <c r="A24" s="7">
        <v>17</v>
      </c>
      <c r="B24" s="7" t="s">
        <v>346</v>
      </c>
      <c r="C24" s="59" t="s">
        <v>340</v>
      </c>
      <c r="D24" s="60" t="s">
        <v>345</v>
      </c>
      <c r="E24" s="7">
        <v>0</v>
      </c>
      <c r="F24" s="7">
        <v>1</v>
      </c>
      <c r="G24" s="7" t="s">
        <v>1</v>
      </c>
      <c r="H24" s="10"/>
      <c r="J24" s="10" t="str">
        <f t="shared" si="0"/>
        <v>* header.metadata.language 0..1 CodeableConcept ##34#A.1.8.8 Language##34# ##334#Language in which the document is written. Language is expressed by the ISO language code.- Preferred system(s):  BCP 47##334#</v>
      </c>
      <c r="L24" s="10" t="str">
        <f t="shared" si="1"/>
        <v/>
      </c>
    </row>
    <row r="25" spans="1:13" ht="30.25" thickBot="1" x14ac:dyDescent="0.9">
      <c r="A25" s="7">
        <v>18</v>
      </c>
      <c r="B25" s="7" t="s">
        <v>347</v>
      </c>
      <c r="C25" s="59" t="s">
        <v>341</v>
      </c>
      <c r="D25" s="60" t="s">
        <v>342</v>
      </c>
      <c r="E25" s="7">
        <v>0</v>
      </c>
      <c r="F25" s="7">
        <v>1</v>
      </c>
      <c r="G25" s="7" t="s">
        <v>3</v>
      </c>
      <c r="H25" s="10"/>
      <c r="J25" s="10" t="str">
        <f t="shared" si="0"/>
        <v>* header.metadata.version 0..1 string ##34#A.1.8.9 Version##34# ##334#Version of the document.##334#</v>
      </c>
      <c r="L25" s="10" t="str">
        <f t="shared" si="1"/>
        <v/>
      </c>
    </row>
    <row r="26" spans="1:13" ht="73.75" x14ac:dyDescent="0.75">
      <c r="A26" s="7">
        <v>19</v>
      </c>
      <c r="B26" s="7" t="s">
        <v>265</v>
      </c>
      <c r="C26" s="7" t="s">
        <v>266</v>
      </c>
      <c r="D26" s="4" t="s">
        <v>267</v>
      </c>
      <c r="E26" s="7">
        <v>0</v>
      </c>
      <c r="F26" s="7" t="s">
        <v>11</v>
      </c>
      <c r="G26" s="7" t="str">
        <f>$B$2&amp;"/StructureDefinition/"&amp;I26</f>
        <v>http://hl7.eu/fhir/laboratory/StructureDefinition/Order</v>
      </c>
      <c r="H26" s="10"/>
      <c r="I26" s="7" t="s">
        <v>213</v>
      </c>
      <c r="J26" s="10" t="str">
        <f t="shared" si="0"/>
        <v>* order 0..* http://hl7.eu/fhir/laboratory/StructureDefinition/Order ##34#A.2-A.3 Order##34# ##334#A.2 Order information (Laboratory Result Report could respond to multiple test orders)
A.3 Order reason (Laboratory Result Report could respond to multiple reasons)
##334#</v>
      </c>
      <c r="L26" s="10" t="str">
        <f t="shared" si="1"/>
        <v/>
      </c>
    </row>
    <row r="27" spans="1:13" ht="44.25" x14ac:dyDescent="0.75">
      <c r="A27" s="7">
        <v>20</v>
      </c>
      <c r="B27" s="7" t="s">
        <v>268</v>
      </c>
      <c r="C27" s="7" t="s">
        <v>152</v>
      </c>
      <c r="D27" s="7" t="s">
        <v>152</v>
      </c>
      <c r="E27" s="7">
        <v>0</v>
      </c>
      <c r="F27" s="7" t="s">
        <v>11</v>
      </c>
      <c r="G27" s="7" t="str">
        <f t="shared" ref="G27:G28" si="3">$B$2&amp;"/StructureDefinition/"&amp;I27</f>
        <v>http://hl7.eu/fhir/laboratory/StructureDefinition/SpecimenLab</v>
      </c>
      <c r="H27" s="10"/>
      <c r="I27" s="7" t="s">
        <v>287</v>
      </c>
      <c r="J27" s="10" t="str">
        <f t="shared" si="0"/>
        <v>* specimen 0..* http://hl7.eu/fhir/laboratory/StructureDefinition/SpecimenLab ##34#A.4 Specimen information##34# ##334#A.4 Specimen information##334#</v>
      </c>
      <c r="L27" s="10" t="str">
        <f t="shared" si="1"/>
        <v/>
      </c>
    </row>
    <row r="28" spans="1:13" ht="29.5" x14ac:dyDescent="0.75">
      <c r="A28" s="7">
        <v>21</v>
      </c>
      <c r="B28" s="7" t="s">
        <v>269</v>
      </c>
      <c r="C28" s="7" t="s">
        <v>181</v>
      </c>
      <c r="D28" s="7" t="s">
        <v>181</v>
      </c>
      <c r="E28" s="7">
        <v>0</v>
      </c>
      <c r="F28" s="7" t="s">
        <v>11</v>
      </c>
      <c r="G28" s="7" t="str">
        <f t="shared" si="3"/>
        <v>http://hl7.eu/fhir/laboratory/StructureDefinition/Result</v>
      </c>
      <c r="H28" s="10"/>
      <c r="I28" s="7" t="s">
        <v>282</v>
      </c>
      <c r="J28" s="10" t="str">
        <f t="shared" si="0"/>
        <v>* result 0..* http://hl7.eu/fhir/laboratory/StructureDefinition/Result ##34#A.5 Results data elements##34# ##334#A.5 Results data elements##334#</v>
      </c>
      <c r="L28" s="10" t="str">
        <f t="shared" si="1"/>
        <v/>
      </c>
    </row>
    <row r="29" spans="1:13" x14ac:dyDescent="0.75">
      <c r="H29" s="10"/>
      <c r="J29" s="10" t="str">
        <f t="shared" si="0"/>
        <v>*  ..  ##34###34# ##334###334#</v>
      </c>
      <c r="L29" s="10" t="str">
        <f t="shared" si="1"/>
        <v>*  ..  ##34###34# ##334###334#</v>
      </c>
    </row>
    <row r="30" spans="1:13" x14ac:dyDescent="0.75">
      <c r="H30" s="10"/>
      <c r="J30" s="10" t="str">
        <f t="shared" si="0"/>
        <v>*  ..  ##34###34# ##334###334#</v>
      </c>
      <c r="L30" s="10" t="str">
        <f t="shared" si="1"/>
        <v>*  ..  ##34###34# ##334###334#</v>
      </c>
    </row>
    <row r="31" spans="1:13" x14ac:dyDescent="0.75">
      <c r="B31" s="8"/>
      <c r="F31" s="8"/>
      <c r="H31" s="10"/>
      <c r="J31" s="10" t="str">
        <f t="shared" si="0"/>
        <v>*  ..  ##34###34# ##334###334#</v>
      </c>
      <c r="L31" s="10" t="str">
        <f t="shared" si="1"/>
        <v>*  ..  ##34###34# ##334###334#</v>
      </c>
    </row>
    <row r="32" spans="1:13" x14ac:dyDescent="0.75">
      <c r="J32" s="10"/>
      <c r="L32" s="10" t="str">
        <f t="shared" ref="L32:L36" si="4">IF(H32="",IF(J32="*  ..  ##34###34# ##334###334#",J32,""),IF(J32="*  ..  ##34###34# ##334###334#",J32,CONCATENATE("* ",B32," ^comment = ##334#",H32,"##334#")))</f>
        <v/>
      </c>
    </row>
    <row r="33" spans="3:12" x14ac:dyDescent="0.75">
      <c r="L33" s="10" t="str">
        <f t="shared" si="4"/>
        <v/>
      </c>
    </row>
    <row r="34" spans="3:12" x14ac:dyDescent="0.75">
      <c r="L34" s="10" t="str">
        <f t="shared" si="4"/>
        <v/>
      </c>
    </row>
    <row r="35" spans="3:12" x14ac:dyDescent="0.75">
      <c r="C35" s="8"/>
      <c r="L35" s="10" t="str">
        <f t="shared" si="4"/>
        <v/>
      </c>
    </row>
    <row r="36" spans="3:12" x14ac:dyDescent="0.75">
      <c r="L36" s="10"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ADD81-5D81-4B2C-9E5E-7169385DF165}">
  <sheetPr codeName="Foglio61">
    <tabColor theme="7" tint="0.39997558519241921"/>
  </sheetPr>
  <dimension ref="A1:L24"/>
  <sheetViews>
    <sheetView topLeftCell="A12" workbookViewId="0">
      <selection activeCell="I18" sqref="I18:I24"/>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C3" s="7" t="s">
        <v>602</v>
      </c>
      <c r="I3" s="21" t="str">
        <f>I1</f>
        <v>// -------------------------------------------------------------------------------</v>
      </c>
    </row>
    <row r="4" spans="1:9" x14ac:dyDescent="0.75">
      <c r="A4" s="5" t="s">
        <v>14</v>
      </c>
      <c r="B4" s="12" t="s">
        <v>614</v>
      </c>
      <c r="I4" s="18" t="str">
        <f>CONCATENATE("Logical: ",B4)</f>
        <v>Logical: EdispensationEhn</v>
      </c>
    </row>
    <row r="5" spans="1:9" x14ac:dyDescent="0.75">
      <c r="A5" s="13" t="s">
        <v>17</v>
      </c>
      <c r="B5" s="14" t="s">
        <v>613</v>
      </c>
      <c r="I5" s="18" t="str">
        <f>CONCATENATE("Id: ",B5)</f>
        <v>Id: Dispensation</v>
      </c>
    </row>
    <row r="6" spans="1:9" ht="29.5" x14ac:dyDescent="0.75">
      <c r="A6" s="13" t="s">
        <v>13</v>
      </c>
      <c r="B6" s="14" t="s">
        <v>599</v>
      </c>
      <c r="I6" s="19" t="str">
        <f>CONCATENATE("Title: ##34#",B6,"##34#")</f>
        <v>Title: ##34#B.1 Dispensation information (provided by the dispensing pharmacy)##34#</v>
      </c>
    </row>
    <row r="7" spans="1:9" ht="30.25" thickBot="1" x14ac:dyDescent="0.9">
      <c r="A7" s="15" t="s">
        <v>5</v>
      </c>
      <c r="B7" s="35" t="s">
        <v>600</v>
      </c>
      <c r="C7" s="9" t="s">
        <v>6</v>
      </c>
      <c r="D7" s="2" t="s">
        <v>7</v>
      </c>
      <c r="E7" s="3" t="s">
        <v>8</v>
      </c>
      <c r="F7" s="3" t="s">
        <v>9</v>
      </c>
      <c r="G7" s="3" t="s">
        <v>10</v>
      </c>
      <c r="I7" s="19" t="str">
        <f>CONCATENATE("Description: "," ##334#",B7,"##334#",)</f>
        <v>Description:  ##334#Dispensation information (provided by the dispensing pharmacy). Section B1 of the guidelines##334#</v>
      </c>
    </row>
    <row r="8" spans="1:9" ht="88.5" x14ac:dyDescent="0.75">
      <c r="A8" s="7">
        <v>1</v>
      </c>
      <c r="B8" s="7" t="s">
        <v>601</v>
      </c>
      <c r="C8" s="7" t="s">
        <v>586</v>
      </c>
      <c r="D8" s="73" t="s">
        <v>553</v>
      </c>
      <c r="E8" s="11">
        <v>0</v>
      </c>
      <c r="F8" s="7" t="s">
        <v>11</v>
      </c>
      <c r="G8" s="17" t="s">
        <v>0</v>
      </c>
      <c r="H8" s="17"/>
      <c r="I8" s="10" t="str">
        <f>CONCATENATE("* ",B8, " ",E8,"..",F8," ",G8," ##34#",C8,"##34# ##334#",D8,"##334#")</f>
        <v>* dispenserIdentifier 0..* Identifier ##34#B.1.1 Identifier of the dispenser##34# ##334#A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country.##334#</v>
      </c>
    </row>
    <row r="9" spans="1:9" ht="59" x14ac:dyDescent="0.75">
      <c r="A9" s="7">
        <v>2</v>
      </c>
      <c r="B9" s="7" t="s">
        <v>603</v>
      </c>
      <c r="C9" s="7" t="s">
        <v>587</v>
      </c>
      <c r="D9" s="73" t="s">
        <v>555</v>
      </c>
      <c r="E9" s="11">
        <v>0</v>
      </c>
      <c r="F9" s="7" t="s">
        <v>11</v>
      </c>
      <c r="G9" s="7" t="s">
        <v>3</v>
      </c>
      <c r="H9" s="17"/>
      <c r="I9" s="10" t="str">
        <f t="shared" ref="I9:I24" si="0">CONCATENATE("* ",B9, " ",E9,"..",F9," ",G9," ##34#",C9,"##34# ##334#",D9,"##334#")</f>
        <v>* dispenserFamilyName 0..* string ##34#B.1.2 Family name of the dispenser##34# ##334#The family name/surname/last name of the dispenser. This enables the dispenser to be traced in the event of questions or emergencies.##334#</v>
      </c>
    </row>
    <row r="10" spans="1:9" ht="59" x14ac:dyDescent="0.75">
      <c r="A10" s="7">
        <v>3</v>
      </c>
      <c r="B10" s="7" t="s">
        <v>604</v>
      </c>
      <c r="C10" s="10" t="s">
        <v>588</v>
      </c>
      <c r="D10" s="73" t="s">
        <v>557</v>
      </c>
      <c r="E10" s="11">
        <v>0</v>
      </c>
      <c r="F10" s="7" t="s">
        <v>11</v>
      </c>
      <c r="G10" s="7" t="s">
        <v>3</v>
      </c>
      <c r="H10" s="17"/>
      <c r="I10" s="10" t="str">
        <f t="shared" si="0"/>
        <v>* dispenserGivenName 0..* string ##34#B.1.3 Given name of the dispenser##34# ##334#The given name/first name of the dispenser. This enables the dispenser to be traced in the event of questions or emergencies.##334#</v>
      </c>
    </row>
    <row r="11" spans="1:9" ht="73.75" x14ac:dyDescent="0.75">
      <c r="A11" s="7">
        <v>4</v>
      </c>
      <c r="B11" s="7" t="s">
        <v>605</v>
      </c>
      <c r="C11" s="7" t="s">
        <v>589</v>
      </c>
      <c r="D11" s="73" t="s">
        <v>559</v>
      </c>
      <c r="E11" s="11">
        <v>0</v>
      </c>
      <c r="F11" s="7" t="s">
        <v>11</v>
      </c>
      <c r="G11" s="7" t="s">
        <v>2</v>
      </c>
      <c r="H11" s="17"/>
      <c r="I11" s="10" t="str">
        <f t="shared" si="0"/>
        <v>* pharmacyIdentifier 0..* dateTime ##34#B.1.4 Identifier of the pharmacy##34# ##334#A unique number or code issued for the purpose of identifying a pharmacy [ISO/TS 27527:2010]; this may be a licence or registration number which can be used to trace the dispensing pharmacy.##334#</v>
      </c>
    </row>
    <row r="12" spans="1:9" ht="29.5" x14ac:dyDescent="0.75">
      <c r="A12" s="7">
        <v>5</v>
      </c>
      <c r="B12" s="7" t="s">
        <v>606</v>
      </c>
      <c r="C12" s="7" t="s">
        <v>590</v>
      </c>
      <c r="D12" s="73" t="s">
        <v>561</v>
      </c>
      <c r="E12" s="11">
        <v>0</v>
      </c>
      <c r="F12" s="7">
        <v>1</v>
      </c>
      <c r="G12" s="7" t="s">
        <v>47</v>
      </c>
      <c r="H12" s="17"/>
      <c r="I12" s="10" t="str">
        <f t="shared" si="0"/>
        <v>* pharmacyAddress 0..1 Address ##34#B.1.5 Address of the pharmacy##34# ##334#Minimally, the country should be specified.##334#</v>
      </c>
    </row>
    <row r="13" spans="1:9" ht="44.25" x14ac:dyDescent="0.75">
      <c r="A13" s="7">
        <v>6</v>
      </c>
      <c r="B13" s="7" t="s">
        <v>607</v>
      </c>
      <c r="C13" s="7" t="s">
        <v>591</v>
      </c>
      <c r="D13" s="73" t="s">
        <v>563</v>
      </c>
      <c r="E13" s="11">
        <v>0</v>
      </c>
      <c r="F13" s="7" t="s">
        <v>11</v>
      </c>
      <c r="G13" s="7" t="s">
        <v>260</v>
      </c>
      <c r="H13" s="17"/>
      <c r="I13" s="10" t="str">
        <f t="shared" si="0"/>
        <v>* contactDetails 0..* ContactPoint ##34#B.1.6 Details of direct contact##34# ##334#Details of direct contact could be an email address and/or phone/fax number of the dispensing pharmacy.##334#</v>
      </c>
    </row>
    <row r="14" spans="1:9" ht="29.5" x14ac:dyDescent="0.75">
      <c r="A14" s="7">
        <v>7</v>
      </c>
      <c r="B14" s="7" t="s">
        <v>608</v>
      </c>
      <c r="C14" s="7" t="s">
        <v>592</v>
      </c>
      <c r="D14" s="73" t="s">
        <v>565</v>
      </c>
      <c r="E14" s="11">
        <v>0</v>
      </c>
      <c r="F14" s="7" t="s">
        <v>11</v>
      </c>
      <c r="G14" s="7" t="s">
        <v>0</v>
      </c>
      <c r="H14" s="17"/>
      <c r="I14" s="10" t="str">
        <f t="shared" si="0"/>
        <v>* prescriptionIdentifier 0..* Identifier ##34#B.1.7 Identifier of the prescription##34# ##334# As described in A.1.2.##334#</v>
      </c>
    </row>
    <row r="15" spans="1:9" ht="59" x14ac:dyDescent="0.75">
      <c r="A15" s="7">
        <v>8</v>
      </c>
      <c r="B15" s="7" t="s">
        <v>609</v>
      </c>
      <c r="C15" s="7" t="s">
        <v>593</v>
      </c>
      <c r="D15" s="73" t="s">
        <v>576</v>
      </c>
      <c r="E15" s="11">
        <v>0</v>
      </c>
      <c r="F15" s="7" t="s">
        <v>11</v>
      </c>
      <c r="G15" s="7" t="s">
        <v>4</v>
      </c>
      <c r="H15" s="17"/>
      <c r="I15" s="10" t="str">
        <f t="shared" si="0"/>
        <v>* medicinalProduct 0..* BackboneElement ##34#B.1.8 Medicinal product##34# ##334#Information about the dispensed product as described in A.1.4.
The cardinality of the data elements in the product description may differ between ePrescription and eDispensation.##334#</v>
      </c>
    </row>
    <row r="16" spans="1:9" ht="73.75" x14ac:dyDescent="0.75">
      <c r="A16" s="7">
        <v>9</v>
      </c>
      <c r="B16" s="7" t="s">
        <v>610</v>
      </c>
      <c r="C16" s="7" t="s">
        <v>594</v>
      </c>
      <c r="D16" s="73" t="s">
        <v>597</v>
      </c>
      <c r="E16" s="11">
        <v>0</v>
      </c>
      <c r="F16" s="7" t="s">
        <v>11</v>
      </c>
      <c r="G16" s="7" t="s">
        <v>443</v>
      </c>
      <c r="H16" s="17"/>
      <c r="I16" s="10" t="str">
        <f t="shared" si="0"/>
        <v>* dispensedQuantity 0..* Quantity ##34#B.1.9 Dispensed quantity##34# ##334#The package size should be clear from the medicinal product data and the overall amount should be automatically calculable. The dispensed quantity may differ from the prescribed quantity.
 - Preferred system(s): UCUM, EDQM##334#</v>
      </c>
    </row>
    <row r="17" spans="1:9" ht="44.25" x14ac:dyDescent="0.75">
      <c r="A17" s="7">
        <v>10</v>
      </c>
      <c r="B17" s="7" t="s">
        <v>611</v>
      </c>
      <c r="C17" s="7" t="s">
        <v>595</v>
      </c>
      <c r="D17" s="73" t="s">
        <v>598</v>
      </c>
      <c r="E17" s="11">
        <v>0</v>
      </c>
      <c r="F17" s="7" t="s">
        <v>11</v>
      </c>
      <c r="G17" s="7" t="s">
        <v>2</v>
      </c>
      <c r="H17" s="17"/>
      <c r="I17" s="10" t="str">
        <f t="shared" si="0"/>
        <v>* dispensationDate 0..* dateTime ##34#B.1.10 Dispensation date##34# ##334#The date and optionally the time of dispensation.
 - Preferred system(s): ISO 8601##334#</v>
      </c>
    </row>
    <row r="18" spans="1:9" ht="29.5" x14ac:dyDescent="0.75">
      <c r="A18" s="7">
        <v>11</v>
      </c>
      <c r="B18" s="7" t="s">
        <v>612</v>
      </c>
      <c r="C18" s="7" t="s">
        <v>596</v>
      </c>
      <c r="D18" s="73" t="s">
        <v>574</v>
      </c>
      <c r="E18" s="11">
        <v>0</v>
      </c>
      <c r="F18" s="7" t="s">
        <v>11</v>
      </c>
      <c r="G18" s="7" t="s">
        <v>1</v>
      </c>
      <c r="H18" s="17"/>
      <c r="I18" s="10" t="str">
        <f t="shared" si="0"/>
        <v>* substitution 0..* CodeableConcept ##34#B.1.11 Substitution##34# ##334#Information whether and why the substitution took place##334#</v>
      </c>
    </row>
    <row r="19" spans="1:9" x14ac:dyDescent="0.75">
      <c r="I19" s="10" t="str">
        <f t="shared" si="0"/>
        <v>*  ..  ##34###34# ##334###334#</v>
      </c>
    </row>
    <row r="20" spans="1:9" x14ac:dyDescent="0.75">
      <c r="I20" s="10" t="str">
        <f t="shared" si="0"/>
        <v>*  ..  ##34###34# ##334###334#</v>
      </c>
    </row>
    <row r="21" spans="1:9" x14ac:dyDescent="0.75">
      <c r="I21" s="10" t="str">
        <f t="shared" si="0"/>
        <v>*  ..  ##34###34# ##334###334#</v>
      </c>
    </row>
    <row r="22" spans="1:9" x14ac:dyDescent="0.75">
      <c r="I22" s="10" t="str">
        <f t="shared" si="0"/>
        <v>*  ..  ##34###34# ##334###334#</v>
      </c>
    </row>
    <row r="23" spans="1:9" x14ac:dyDescent="0.75">
      <c r="I23" s="10" t="str">
        <f t="shared" si="0"/>
        <v>*  ..  ##34###34# ##334###334#</v>
      </c>
    </row>
    <row r="24" spans="1:9" x14ac:dyDescent="0.75">
      <c r="I24" s="10" t="str">
        <f t="shared" si="0"/>
        <v>*  ..  ##34###34# ##334###334#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0458-A9EE-4EE5-9896-DB35FE3D18C2}">
  <sheetPr codeName="Foglio72">
    <tabColor theme="8" tint="-0.249977111117893"/>
  </sheetPr>
  <dimension ref="C1:G48"/>
  <sheetViews>
    <sheetView workbookViewId="0">
      <selection activeCell="C16" sqref="C16:C23"/>
    </sheetView>
  </sheetViews>
  <sheetFormatPr defaultRowHeight="14.75" x14ac:dyDescent="0.75"/>
  <cols>
    <col min="3" max="3" width="108.2265625" style="10" customWidth="1"/>
    <col min="7" max="7" width="34.90625" customWidth="1"/>
  </cols>
  <sheetData>
    <row r="1" spans="3:7" ht="15.5" thickBot="1" x14ac:dyDescent="0.9">
      <c r="C1" s="20" t="str">
        <f>eD!I1</f>
        <v>// -------------------------------------------------------------------------------</v>
      </c>
    </row>
    <row r="2" spans="3:7" ht="16.75" thickBot="1" x14ac:dyDescent="0.9">
      <c r="C2" s="21" t="str">
        <f>eD!I2</f>
        <v>//  Logical Model</v>
      </c>
      <c r="G2" s="38" t="str">
        <f>eD!B5&amp;".fsh"</f>
        <v>Dispensation.fsh</v>
      </c>
    </row>
    <row r="3" spans="3:7" x14ac:dyDescent="0.75">
      <c r="C3" s="21" t="str">
        <f>eD!I3</f>
        <v>// -------------------------------------------------------------------------------</v>
      </c>
    </row>
    <row r="4" spans="3:7" x14ac:dyDescent="0.75">
      <c r="C4" s="18" t="str">
        <f>eD!I4</f>
        <v>Logical: EdispensationEhn</v>
      </c>
    </row>
    <row r="5" spans="3:7" x14ac:dyDescent="0.75">
      <c r="C5" s="18" t="str">
        <f>eD!I5</f>
        <v>Id: Dispensation</v>
      </c>
    </row>
    <row r="6" spans="3:7" x14ac:dyDescent="0.75">
      <c r="C6" s="18" t="str">
        <f>eD!I6</f>
        <v>Title: ##34#B.1 Dispensation information (provided by the dispensing pharmacy)##34#</v>
      </c>
    </row>
    <row r="7" spans="3:7" x14ac:dyDescent="0.75">
      <c r="C7" s="18" t="str">
        <f>eD!I7</f>
        <v>Description:  ##334#Dispensation information (provided by the dispensing pharmacy). Section B1 of the guidelines##334#</v>
      </c>
    </row>
    <row r="8" spans="3:7" ht="29.5" x14ac:dyDescent="0.75">
      <c r="C8" s="10" t="str">
        <f>IF(eD!I8="*  ..  ##34###34# ##334###334#","//--- END",eD!I8)</f>
        <v>* dispenserIdentifier 0..* Identifier ##34#B.1.1 Identifier of the dispenser##34# ##334#A unique number or code issued for the purpose of identifying a dispenser [ISO/TS 27527:2010]; this may be a licence or registration number which can be used to trace the dispenser and to check whether a medicinal product was dispensed by the right person according to the law of the dispensing country.##334#</v>
      </c>
    </row>
    <row r="9" spans="3:7" ht="59" x14ac:dyDescent="0.75">
      <c r="C9" s="10" t="str">
        <f>IF(eD!I9="*  ..  ##34###34# ##334###334#","//--- END",eD!I9)</f>
        <v>* dispenserFamilyName 0..* string ##34#B.1.2 Family name of the dispenser##34# ##334#The family name/surname/last name of the dispenser. This enables the dispenser to be traced in the event of questions or emergencies.##334#</v>
      </c>
    </row>
    <row r="10" spans="3:7" ht="59" x14ac:dyDescent="0.75">
      <c r="C10" s="10" t="str">
        <f>IF(eD!I10="*  ..  ##34###34# ##334###334#","//--- END",eD!I10)</f>
        <v>* dispenserGivenName 0..* string ##34#B.1.3 Given name of the dispenser##34# ##334#The given name/first name of the dispenser. This enables the dispenser to be traced in the event of questions or emergencies.##334#</v>
      </c>
      <c r="E10" t="s">
        <v>258</v>
      </c>
    </row>
    <row r="11" spans="3:7" ht="44.25" x14ac:dyDescent="0.75">
      <c r="C11" s="10" t="str">
        <f>IF(eD!I11="*  ..  ##34###34# ##334###334#","//--- END",eD!I11)</f>
        <v>* pharmacyIdentifier 0..* dateTime ##34#B.1.4 Identifier of the pharmacy##34# ##334#A unique number or code issued for the purpose of identifying a pharmacy [ISO/TS 27527:2010]; this may be a licence or registration number which can be used to trace the dispensing pharmacy.##334#</v>
      </c>
    </row>
    <row r="12" spans="3:7" ht="29.5" x14ac:dyDescent="0.75">
      <c r="C12" s="10" t="str">
        <f>IF(eD!I12="*  ..  ##34###34# ##334###334#","//--- END",eD!I12)</f>
        <v>* pharmacyAddress 0..1 Address ##34#B.1.5 Address of the pharmacy##34# ##334#Minimally, the country should be specified.##334#</v>
      </c>
    </row>
    <row r="13" spans="3:7" ht="29.5" x14ac:dyDescent="0.75">
      <c r="C13" s="10" t="str">
        <f>IF(eD!I13="*  ..  ##34###34# ##334###334#","//--- END",eD!I13)</f>
        <v>* contactDetails 0..* ContactPoint ##34#B.1.6 Details of direct contact##34# ##334#Details of direct contact could be an email address and/or phone/fax number of the dispensing pharmacy.##334#</v>
      </c>
    </row>
    <row r="14" spans="3:7" x14ac:dyDescent="0.75">
      <c r="C14" s="10" t="str">
        <f>IF(eD!I14="*  ..  ##34###34# ##334###334#","//--- END",eD!I14)</f>
        <v>* prescriptionIdentifier 0..* Identifier ##34#B.1.7 Identifier of the prescription##34# ##334# As described in A.1.2.##334#</v>
      </c>
    </row>
    <row r="15" spans="3:7" ht="44.25" x14ac:dyDescent="0.75">
      <c r="C15" s="10" t="str">
        <f>IF(eD!I15="*  ..  ##34###34# ##334###334#","//--- END",eD!I15)</f>
        <v>* medicinalProduct 0..* BackboneElement ##34#B.1.8 Medicinal product##34# ##334#Information about the dispensed product as described in A.1.4.
The cardinality of the data elements in the product description may differ between ePrescription and eDispensation.##334#</v>
      </c>
    </row>
    <row r="16" spans="3:7" ht="59" x14ac:dyDescent="0.75">
      <c r="C16" s="10" t="str">
        <f>IF(eD!I16="*  ..  ##34###34# ##334###334#","//--- END",eD!I16)</f>
        <v>* dispensedQuantity 0..* Quantity ##34#B.1.9 Dispensed quantity##34# ##334#The package size should be clear from the medicinal product data and the overall amount should be automatically calculable. The dispensed quantity may differ from the prescribed quantity.
 - Preferred system(s): UCUM, EDQM##334#</v>
      </c>
    </row>
    <row r="17" spans="3:3" ht="44.25" x14ac:dyDescent="0.75">
      <c r="C17" s="10" t="str">
        <f>IF(eD!I17="*  ..  ##34###34# ##334###334#","//--- END",eD!I17)</f>
        <v>* dispensationDate 0..* dateTime ##34#B.1.10 Dispensation date##34# ##334#The date and optionally the time of dispensation.
 - Preferred system(s): ISO 8601##334#</v>
      </c>
    </row>
    <row r="18" spans="3:3" ht="29.5" x14ac:dyDescent="0.75">
      <c r="C18" s="10" t="str">
        <f>IF(eD!I18="*  ..  ##34###34# ##334###334#","//--- END",eD!I18)</f>
        <v>* substitution 0..* CodeableConcept ##34#B.1.11 Substitution##34# ##334#Information whether and why the substitution took place##334#</v>
      </c>
    </row>
    <row r="19" spans="3:3" x14ac:dyDescent="0.75">
      <c r="C19" s="10" t="str">
        <f>IF(eD!I19="*  ..  ##34###34# ##334###334#","//--- END",eD!I19)</f>
        <v>//--- END</v>
      </c>
    </row>
    <row r="20" spans="3:3" x14ac:dyDescent="0.75">
      <c r="C20" s="10" t="str">
        <f>IF(eD!I20="*  ..  ##34###34# ##334###334#","//--- END",eD!I20)</f>
        <v>//--- END</v>
      </c>
    </row>
    <row r="21" spans="3:3" x14ac:dyDescent="0.75">
      <c r="C21" s="10" t="str">
        <f>IF(eD!I21="*  ..  ##34###34# ##334###334#","//--- END",eD!I21)</f>
        <v>//--- END</v>
      </c>
    </row>
    <row r="22" spans="3:3" x14ac:dyDescent="0.75">
      <c r="C22" s="10" t="str">
        <f>IF(eD!I22="*  ..  ##34###34# ##334###334#","//--- END",eD!I22)</f>
        <v>//--- END</v>
      </c>
    </row>
    <row r="23" spans="3:3" x14ac:dyDescent="0.75">
      <c r="C23" s="10" t="str">
        <f>IF(eD!I23="*  ..  ##34###34# ##334###334#","//--- END",eD!I23)</f>
        <v>//--- END</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2081"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01D9A-9F4E-42B5-8472-FA6079C10E1F}">
  <sheetPr codeName="Foglio73">
    <tabColor theme="0" tint="-0.499984740745262"/>
  </sheetPr>
  <dimension ref="A1:S98"/>
  <sheetViews>
    <sheetView topLeftCell="A8" zoomScale="85" zoomScaleNormal="85"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615</v>
      </c>
      <c r="D3" s="46" t="s">
        <v>316</v>
      </c>
      <c r="E3" s="94" t="s">
        <v>616</v>
      </c>
      <c r="F3" s="94"/>
      <c r="G3" s="94"/>
    </row>
    <row r="4" spans="1:19" x14ac:dyDescent="0.75">
      <c r="B4" s="46" t="s">
        <v>17</v>
      </c>
      <c r="C4" s="37" t="s">
        <v>618</v>
      </c>
      <c r="D4" s="46" t="s">
        <v>317</v>
      </c>
      <c r="E4" s="95" t="s">
        <v>617</v>
      </c>
      <c r="F4" s="94"/>
      <c r="G4" s="94"/>
    </row>
    <row r="5" spans="1:19" x14ac:dyDescent="0.75">
      <c r="B5" s="46" t="s">
        <v>13</v>
      </c>
      <c r="C5" s="8" t="s">
        <v>619</v>
      </c>
      <c r="D5" s="46"/>
      <c r="E5" s="8"/>
    </row>
    <row r="6" spans="1:19" x14ac:dyDescent="0.75">
      <c r="B6" s="46" t="s">
        <v>522</v>
      </c>
      <c r="C6" s="64" t="s">
        <v>525</v>
      </c>
      <c r="D6" s="46" t="s">
        <v>314</v>
      </c>
      <c r="E6" s="94" t="str">
        <f>E3</f>
        <v>Canonical (EdispensationEhn)</v>
      </c>
      <c r="F6" s="94"/>
      <c r="G6" s="94"/>
    </row>
    <row r="7" spans="1:19" x14ac:dyDescent="0.75">
      <c r="B7" s="46" t="s">
        <v>523</v>
      </c>
      <c r="C7" s="53" t="s">
        <v>620</v>
      </c>
      <c r="D7" s="46" t="s">
        <v>315</v>
      </c>
      <c r="E7" s="95" t="str">
        <f>E4</f>
        <v>Canonical(MedicationDispenseEuMpd)</v>
      </c>
      <c r="F7" s="94"/>
      <c r="G7" s="94"/>
    </row>
    <row r="8" spans="1:19" ht="44.25" x14ac:dyDescent="0.75">
      <c r="B8" s="46" t="s">
        <v>311</v>
      </c>
      <c r="C8" s="8" t="s">
        <v>621</v>
      </c>
      <c r="D8" s="46"/>
      <c r="E8"/>
      <c r="I8" s="10" t="s">
        <v>290</v>
      </c>
      <c r="J8" s="10" t="s">
        <v>291</v>
      </c>
      <c r="K8" s="10" t="s">
        <v>292</v>
      </c>
      <c r="L8" s="10" t="s">
        <v>293</v>
      </c>
      <c r="M8" s="7" t="s">
        <v>294</v>
      </c>
      <c r="P8" s="42" t="s">
        <v>295</v>
      </c>
      <c r="Q8" s="42">
        <v>6</v>
      </c>
    </row>
    <row r="9" spans="1:19" ht="29.5" x14ac:dyDescent="0.75">
      <c r="B9" s="46" t="s">
        <v>312</v>
      </c>
      <c r="C9" s="1" t="s">
        <v>622</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eD!B5</f>
        <v>Dispensation</v>
      </c>
      <c r="C14" s="7"/>
      <c r="D14" s="4" t="s">
        <v>623</v>
      </c>
      <c r="E14" s="6"/>
      <c r="F14" s="7"/>
      <c r="G14" s="7"/>
      <c r="I14" s="10"/>
      <c r="J14" s="7"/>
      <c r="K14" s="7"/>
      <c r="L14" s="7"/>
      <c r="M14" s="44"/>
      <c r="N14" s="47"/>
    </row>
    <row r="15" spans="1:19" ht="73.75" x14ac:dyDescent="0.75">
      <c r="A15" s="17"/>
      <c r="B15" s="7" t="str">
        <f>eD!B8</f>
        <v>dispenserIdentifier</v>
      </c>
      <c r="C15" s="7" t="str">
        <f>eD!C8</f>
        <v>B.1.1 Identifier of the dispenser</v>
      </c>
      <c r="D15" s="10" t="s">
        <v>624</v>
      </c>
      <c r="E15" s="40"/>
      <c r="F15" s="48" t="s">
        <v>301</v>
      </c>
      <c r="G15" s="48"/>
      <c r="H15" s="49"/>
      <c r="I15" s="10" t="str">
        <f>"* group[=].element[+].code = #"&amp;$B$14&amp;"."&amp;B15</f>
        <v>* group[=].element[+].code = #Dispensation.dispenserIdentifier</v>
      </c>
      <c r="J15" s="10" t="str">
        <f t="shared" ref="J15" si="0">"* group[=].element[=].display = ##34#"&amp;C15&amp;"##34#"</f>
        <v>* group[=].element[=].display = ##34#B.1.1 Identifier of the dispenser##34#</v>
      </c>
      <c r="K15" s="10" t="str">
        <f>IF(F15="unmatched","//-- unmatched",IF(D15="","* group[=].element[=].target.code = #"&amp;$D$14,"* group[=].element[=].target.code = #"&amp;$D$14&amp;"."&amp;D15))</f>
        <v>* group[=].element[=].target.code = #MedicationDispense.performer.actor.identifier</v>
      </c>
      <c r="L15" s="10" t="str">
        <f t="shared" ref="L15" si="1">IF(F15="unmatched","//-- unmatched","* group[=].element[=].target.display = ##34#"&amp;E15&amp;"##34#")</f>
        <v>* group[=].element[=].target.display = ##34###34#</v>
      </c>
      <c r="M15" s="10" t="str">
        <f t="shared" ref="M15" si="2">"* group[=].element[=].target.equivalence = #"&amp;F15</f>
        <v>* group[=].element[=].target.equivalence = #equivalent</v>
      </c>
      <c r="N15" s="1" t="str">
        <f t="shared" ref="N15" si="3">IF(G15&lt;&gt;"",CONCATENATE("* group[=].element[=].target.comment = ","##34#",G15,"##34#"),"")</f>
        <v/>
      </c>
      <c r="P15" s="7">
        <v>1</v>
      </c>
      <c r="Q15" s="7">
        <f>IF(MOD(P15,$Q$8)=0,P15/$Q$8-1,INT(P15/$Q$8))</f>
        <v>0</v>
      </c>
      <c r="R15" s="7">
        <f>IF(MOD(P15,$Q$8)=0,$Q$8,MOD(P15,$Q$8))</f>
        <v>1</v>
      </c>
      <c r="S15" s="10" t="str" cm="1">
        <f t="array" ref="S15">INDEX('eD-ConceptMap'!$I$15:$N$98,Q15+1,R15)</f>
        <v>* group[=].element[+].code = #Dispensation.dispenserIdentifier</v>
      </c>
    </row>
    <row r="16" spans="1:19" ht="73.75" x14ac:dyDescent="0.75">
      <c r="A16" s="17"/>
      <c r="B16" s="7" t="str">
        <f>eD!B9</f>
        <v>dispenserFamilyName</v>
      </c>
      <c r="C16" s="7" t="str">
        <f>eD!C9</f>
        <v>B.1.2 Family name of the dispenser</v>
      </c>
      <c r="D16" s="10" t="s">
        <v>625</v>
      </c>
      <c r="E16" s="7"/>
      <c r="F16" s="48" t="s">
        <v>302</v>
      </c>
      <c r="G16" s="48" t="s">
        <v>626</v>
      </c>
      <c r="H16" s="49"/>
      <c r="I16" s="10" t="str">
        <f t="shared" ref="I16:I26" si="4">"* group[=].element[+].code = #"&amp;$B$14&amp;"."&amp;B16</f>
        <v>* group[=].element[+].code = #Dispensation.dispenserFamilyName</v>
      </c>
      <c r="J16" s="10" t="str">
        <f t="shared" ref="J16:J26" si="5">"* group[=].element[=].display = ##34#"&amp;C16&amp;"##34#"</f>
        <v>* group[=].element[=].display = ##34#B.1.2 Family name of the dispenser##34#</v>
      </c>
      <c r="K16" s="10" t="str">
        <f t="shared" ref="K16:K26" si="6">IF(F16="unmatched","//-- unmatched",IF(D16="","* group[=].element[=].target.code = #"&amp;$D$14,"* group[=].element[=].target.code = #"&amp;$D$14&amp;"."&amp;D16))</f>
        <v>* group[=].element[=].target.code = #MedicationDispense.performer.actor.practitioner.name.family</v>
      </c>
      <c r="L16" s="10" t="str">
        <f t="shared" ref="L16:L26" si="7">IF(F16="unmatched","//-- unmatched","* group[=].element[=].target.display = ##34#"&amp;E16&amp;"##34#")</f>
        <v>* group[=].element[=].target.display = ##34###34#</v>
      </c>
      <c r="M16" s="10" t="str">
        <f t="shared" ref="M16:M26" si="8">"* group[=].element[=].target.equivalence = #"&amp;F16</f>
        <v>* group[=].element[=].target.equivalence = #relatedto</v>
      </c>
      <c r="N16" s="1" t="str">
        <f t="shared" ref="N16:N26" si="9">IF(G16&lt;&gt;"",CONCATENATE("* group[=].element[=].target.comment = ","##34#",G16,"##34#"),"")</f>
        <v>* group[=].element[=].target.comment = ##34#Assuming actor of type PractitionerRole##34#</v>
      </c>
      <c r="P16" s="7">
        <v>2</v>
      </c>
      <c r="Q16" s="7">
        <f t="shared" ref="Q16:Q79" si="10">IF(MOD(P16,$Q$8)=0,P16/$Q$8-1,INT(P16/$Q$8))</f>
        <v>0</v>
      </c>
      <c r="R16" s="7">
        <f t="shared" ref="R16:R79" si="11">IF(MOD(P16,$Q$8)=0,$Q$8,MOD(P16,$Q$8))</f>
        <v>2</v>
      </c>
      <c r="S16" s="10" t="str" cm="1">
        <f t="array" ref="S16">INDEX('eD-ConceptMap'!$I$15:$N$98,Q16+1,R16)</f>
        <v>* group[=].element[=].display = ##34#B.1.1 Identifier of the dispenser##34#</v>
      </c>
    </row>
    <row r="17" spans="1:19" ht="73.75" x14ac:dyDescent="0.75">
      <c r="A17" s="17"/>
      <c r="B17" s="7" t="str">
        <f>eD!B10</f>
        <v>dispenserGivenName</v>
      </c>
      <c r="C17" s="7" t="str">
        <f>eD!C10</f>
        <v>B.1.3 Given name of the dispenser</v>
      </c>
      <c r="D17" s="10" t="s">
        <v>627</v>
      </c>
      <c r="E17" s="7"/>
      <c r="F17" s="48" t="s">
        <v>301</v>
      </c>
      <c r="G17" s="48" t="s">
        <v>626</v>
      </c>
      <c r="H17" s="49"/>
      <c r="I17" s="10" t="str">
        <f t="shared" si="4"/>
        <v>* group[=].element[+].code = #Dispensation.dispenserGivenName</v>
      </c>
      <c r="J17" s="10" t="str">
        <f t="shared" si="5"/>
        <v>* group[=].element[=].display = ##34#B.1.3 Given name of the dispenser##34#</v>
      </c>
      <c r="K17" s="10" t="str">
        <f t="shared" si="6"/>
        <v>* group[=].element[=].target.code = #MedicationDispense.performer.actor.practitioner.name.given</v>
      </c>
      <c r="L17" s="10" t="str">
        <f t="shared" si="7"/>
        <v>* group[=].element[=].target.display = ##34###34#</v>
      </c>
      <c r="M17" s="10" t="str">
        <f t="shared" si="8"/>
        <v>* group[=].element[=].target.equivalence = #equivalent</v>
      </c>
      <c r="N17" s="1" t="str">
        <f t="shared" si="9"/>
        <v>* group[=].element[=].target.comment = ##34#Assuming actor of type PractitionerRole##34#</v>
      </c>
      <c r="P17" s="7">
        <v>3</v>
      </c>
      <c r="Q17" s="7">
        <f t="shared" si="10"/>
        <v>0</v>
      </c>
      <c r="R17" s="7">
        <f t="shared" si="11"/>
        <v>3</v>
      </c>
      <c r="S17" s="10" t="str" cm="1">
        <f t="array" ref="S17">INDEX('eD-ConceptMap'!$I$15:$N$98,Q17+1,R17)</f>
        <v>* group[=].element[=].target.code = #MedicationDispense.performer.actor.identifier</v>
      </c>
    </row>
    <row r="18" spans="1:19" ht="103.25" x14ac:dyDescent="0.75">
      <c r="A18" s="17"/>
      <c r="B18" s="7" t="str">
        <f>eD!B11</f>
        <v>pharmacyIdentifier</v>
      </c>
      <c r="C18" s="7" t="str">
        <f>eD!C11</f>
        <v>B.1.4 Identifier of the pharmacy</v>
      </c>
      <c r="D18" s="10" t="s">
        <v>628</v>
      </c>
      <c r="E18" s="7"/>
      <c r="F18" s="48" t="s">
        <v>302</v>
      </c>
      <c r="G18" s="66" t="s">
        <v>629</v>
      </c>
      <c r="H18" s="49"/>
      <c r="I18" s="10" t="str">
        <f t="shared" si="4"/>
        <v>* group[=].element[+].code = #Dispensation.pharmacyIdentifier</v>
      </c>
      <c r="J18" s="10" t="str">
        <f t="shared" si="5"/>
        <v>* group[=].element[=].display = ##34#B.1.4 Identifier of the pharmacy##34#</v>
      </c>
      <c r="K18" s="10" t="str">
        <f t="shared" si="6"/>
        <v>* group[=].element[=].target.code = #MedicationDispense.performer.actor.organization.identifier</v>
      </c>
      <c r="L18" s="10" t="str">
        <f t="shared" si="7"/>
        <v>* group[=].element[=].target.display = ##34###34#</v>
      </c>
      <c r="M18" s="10" t="str">
        <f t="shared" si="8"/>
        <v>* group[=].element[=].target.equivalence = #relatedto</v>
      </c>
      <c r="N18" s="1" t="str">
        <f t="shared" si="9"/>
        <v>* group[=].element[=].target.comment = ##34#Assuming actor of type PractitionerRole (to be checked this assume that the pharamcy  is the org the dispenser is working for…)##34#</v>
      </c>
      <c r="P18" s="7">
        <v>4</v>
      </c>
      <c r="Q18" s="7">
        <f t="shared" si="10"/>
        <v>0</v>
      </c>
      <c r="R18" s="7">
        <f t="shared" si="11"/>
        <v>4</v>
      </c>
      <c r="S18" s="10" t="str" cm="1">
        <f t="array" ref="S18">INDEX('eD-ConceptMap'!$I$15:$N$98,Q18+1,R18)</f>
        <v>* group[=].element[=].target.display = ##34###34#</v>
      </c>
    </row>
    <row r="19" spans="1:19" ht="59" customHeight="1" x14ac:dyDescent="0.75">
      <c r="A19" s="17"/>
      <c r="B19" s="7" t="str">
        <f>eD!B11</f>
        <v>pharmacyIdentifier</v>
      </c>
      <c r="C19" s="7" t="str">
        <f>eD!C11</f>
        <v>B.1.4 Identifier of the pharmacy</v>
      </c>
      <c r="D19" s="10" t="s">
        <v>624</v>
      </c>
      <c r="E19" s="7"/>
      <c r="F19" s="48" t="s">
        <v>302</v>
      </c>
      <c r="G19" s="66" t="s">
        <v>630</v>
      </c>
      <c r="H19" s="49"/>
      <c r="I19" s="10" t="str">
        <f t="shared" si="4"/>
        <v>* group[=].element[+].code = #Dispensation.pharmacyIdentifier</v>
      </c>
      <c r="J19" s="10" t="str">
        <f t="shared" si="5"/>
        <v>* group[=].element[=].display = ##34#B.1.4 Identifier of the pharmacy##34#</v>
      </c>
      <c r="K19" s="10" t="str">
        <f t="shared" si="6"/>
        <v>* group[=].element[=].target.code = #MedicationDispense.performer.actor.identifier</v>
      </c>
      <c r="L19" s="10" t="str">
        <f t="shared" si="7"/>
        <v>* group[=].element[=].target.display = ##34###34#</v>
      </c>
      <c r="M19" s="10" t="str">
        <f t="shared" si="8"/>
        <v>* group[=].element[=].target.equivalence = #relatedto</v>
      </c>
      <c r="N19" s="1" t="str">
        <f t="shared" si="9"/>
        <v>* group[=].element[=].target.comment = ##34#Assuming actor of type Organziation (to be checked this assumes that the pharamcy  is the org dispensing)##34#</v>
      </c>
      <c r="P19" s="7">
        <v>5</v>
      </c>
      <c r="Q19" s="7">
        <f t="shared" si="10"/>
        <v>0</v>
      </c>
      <c r="R19" s="7">
        <f t="shared" si="11"/>
        <v>5</v>
      </c>
      <c r="S19" s="10" t="str" cm="1">
        <f t="array" ref="S19">INDEX('eD-ConceptMap'!$I$15:$N$98,Q19+1,R19)</f>
        <v>* group[=].element[=].target.equivalence = #equivalent</v>
      </c>
    </row>
    <row r="20" spans="1:19" ht="88.5" x14ac:dyDescent="0.75">
      <c r="A20" s="17"/>
      <c r="B20" s="7" t="str">
        <f>eD!B12</f>
        <v>pharmacyAddress</v>
      </c>
      <c r="C20" s="7" t="str">
        <f>eD!C12</f>
        <v>B.1.5 Address of the pharmacy</v>
      </c>
      <c r="D20" s="10" t="s">
        <v>631</v>
      </c>
      <c r="E20" s="7"/>
      <c r="F20" s="48" t="s">
        <v>302</v>
      </c>
      <c r="G20" s="66" t="s">
        <v>630</v>
      </c>
      <c r="H20" s="49"/>
      <c r="I20" s="10" t="str">
        <f t="shared" si="4"/>
        <v>* group[=].element[+].code = #Dispensation.pharmacyAddress</v>
      </c>
      <c r="J20" s="10" t="str">
        <f t="shared" si="5"/>
        <v>* group[=].element[=].display = ##34#B.1.5 Address of the pharmacy##34#</v>
      </c>
      <c r="K20" s="10" t="str">
        <f t="shared" si="6"/>
        <v>* group[=].element[=].target.code = #MedicationDispense.performer.actor.address</v>
      </c>
      <c r="L20" s="10" t="str">
        <f t="shared" si="7"/>
        <v>* group[=].element[=].target.display = ##34###34#</v>
      </c>
      <c r="M20" s="10" t="str">
        <f t="shared" si="8"/>
        <v>* group[=].element[=].target.equivalence = #relatedto</v>
      </c>
      <c r="N20" s="1" t="str">
        <f t="shared" si="9"/>
        <v>* group[=].element[=].target.comment = ##34#Assuming actor of type Organziation (to be checked this assumes that the pharamcy  is the org dispensing)##34#</v>
      </c>
      <c r="P20" s="7">
        <v>6</v>
      </c>
      <c r="Q20" s="7">
        <f t="shared" si="10"/>
        <v>0</v>
      </c>
      <c r="R20" s="7">
        <f t="shared" si="11"/>
        <v>6</v>
      </c>
      <c r="S20" s="10" t="str" cm="1">
        <f t="array" ref="S20">INDEX('eD-ConceptMap'!$I$15:$N$98,Q20+1,R20)</f>
        <v/>
      </c>
    </row>
    <row r="21" spans="1:19" ht="73.75" x14ac:dyDescent="0.75">
      <c r="A21" s="17"/>
      <c r="B21" s="7" t="str">
        <f>eD!B13</f>
        <v>contactDetails</v>
      </c>
      <c r="C21" s="7" t="str">
        <f>eD!C13</f>
        <v>B.1.6 Details of direct contact</v>
      </c>
      <c r="D21" s="7" t="s">
        <v>632</v>
      </c>
      <c r="E21" s="7"/>
      <c r="F21" s="48" t="s">
        <v>302</v>
      </c>
      <c r="G21" s="65" t="s">
        <v>633</v>
      </c>
      <c r="H21" s="49"/>
      <c r="I21" s="10" t="str">
        <f t="shared" si="4"/>
        <v>* group[=].element[+].code = #Dispensation.contactDetails</v>
      </c>
      <c r="J21" s="10" t="str">
        <f t="shared" si="5"/>
        <v>* group[=].element[=].display = ##34#B.1.6 Details of direct contact##34#</v>
      </c>
      <c r="K21" s="10" t="str">
        <f t="shared" si="6"/>
        <v>* group[=].element[=].target.code = #MedicationDispense.subject.contact</v>
      </c>
      <c r="L21" s="10" t="str">
        <f t="shared" si="7"/>
        <v>* group[=].element[=].target.display = ##34###34#</v>
      </c>
      <c r="M21" s="10" t="str">
        <f t="shared" si="8"/>
        <v>* group[=].element[=].target.equivalence = #relatedto</v>
      </c>
      <c r="N21" s="1" t="str">
        <f t="shared" si="9"/>
        <v>* group[=].element[=].target.comment = ##34#subject of type Patient##34#</v>
      </c>
      <c r="P21" s="7">
        <v>7</v>
      </c>
      <c r="Q21" s="7">
        <f t="shared" si="10"/>
        <v>1</v>
      </c>
      <c r="R21" s="7">
        <f t="shared" si="11"/>
        <v>1</v>
      </c>
      <c r="S21" s="10" t="str" cm="1">
        <f t="array" ref="S21">INDEX('eD-ConceptMap'!$I$15:$N$98,Q21+1,R21)</f>
        <v>* group[=].element[+].code = #Dispensation.dispenserFamilyName</v>
      </c>
    </row>
    <row r="22" spans="1:19" ht="73.75" x14ac:dyDescent="0.75">
      <c r="A22" s="17"/>
      <c r="B22" s="7" t="str">
        <f>eD!B14</f>
        <v>prescriptionIdentifier</v>
      </c>
      <c r="C22" s="7" t="str">
        <f>eD!C14</f>
        <v>B.1.7 Identifier of the prescription</v>
      </c>
      <c r="D22" s="7" t="s">
        <v>634</v>
      </c>
      <c r="E22" s="7"/>
      <c r="F22" s="48" t="s">
        <v>302</v>
      </c>
      <c r="G22" s="65" t="s">
        <v>635</v>
      </c>
      <c r="H22" s="49"/>
      <c r="I22" s="10" t="str">
        <f t="shared" si="4"/>
        <v>* group[=].element[+].code = #Dispensation.prescriptionIdentifier</v>
      </c>
      <c r="J22" s="10" t="str">
        <f t="shared" si="5"/>
        <v>* group[=].element[=].display = ##34#B.1.7 Identifier of the prescription##34#</v>
      </c>
      <c r="K22" s="10" t="str">
        <f t="shared" si="6"/>
        <v>* group[=].element[=].target.code = #MedicationDispense.authorizingPrescription.identifier</v>
      </c>
      <c r="L22" s="10" t="str">
        <f t="shared" si="7"/>
        <v>* group[=].element[=].target.display = ##34###34#</v>
      </c>
      <c r="M22" s="10" t="str">
        <f t="shared" si="8"/>
        <v>* group[=].element[=].target.equivalence = #relatedto</v>
      </c>
      <c r="N22" s="1" t="str">
        <f t="shared" si="9"/>
        <v>* group[=].element[=].target.comment = ##34#TO BE CHECKED is this true for multi-items prescriptions ?##34#</v>
      </c>
      <c r="P22" s="7">
        <v>8</v>
      </c>
      <c r="Q22" s="7">
        <f t="shared" si="10"/>
        <v>1</v>
      </c>
      <c r="R22" s="7">
        <f t="shared" si="11"/>
        <v>2</v>
      </c>
      <c r="S22" s="10" t="str" cm="1">
        <f t="array" ref="S22">INDEX('eD-ConceptMap'!$I$15:$N$98,Q22+1,R22)</f>
        <v>* group[=].element[=].display = ##34#B.1.2 Family name of the dispenser##34#</v>
      </c>
    </row>
    <row r="23" spans="1:19" ht="73.75" customHeight="1" x14ac:dyDescent="0.75">
      <c r="A23" s="17"/>
      <c r="B23" s="7" t="str">
        <f>eD!B15</f>
        <v>medicinalProduct</v>
      </c>
      <c r="C23" s="7" t="str">
        <f>eD!C15</f>
        <v>B.1.8 Medicinal product</v>
      </c>
      <c r="D23" s="7" t="s">
        <v>499</v>
      </c>
      <c r="E23" s="7"/>
      <c r="F23" s="48" t="s">
        <v>302</v>
      </c>
      <c r="G23" s="48"/>
      <c r="H23" s="49"/>
      <c r="I23" s="10" t="str">
        <f t="shared" si="4"/>
        <v>* group[=].element[+].code = #Dispensation.medicinalProduct</v>
      </c>
      <c r="J23" s="10" t="str">
        <f t="shared" si="5"/>
        <v>* group[=].element[=].display = ##34#B.1.8 Medicinal product##34#</v>
      </c>
      <c r="K23" s="10" t="str">
        <f t="shared" si="6"/>
        <v>* group[=].element[=].target.code = #MedicationDispense.medicationReference</v>
      </c>
      <c r="L23" s="10" t="str">
        <f t="shared" si="7"/>
        <v>* group[=].element[=].target.display = ##34###34#</v>
      </c>
      <c r="M23" s="10" t="str">
        <f t="shared" si="8"/>
        <v>* group[=].element[=].target.equivalence = #relatedto</v>
      </c>
      <c r="N23" s="1" t="str">
        <f t="shared" si="9"/>
        <v/>
      </c>
      <c r="P23" s="7">
        <v>9</v>
      </c>
      <c r="Q23" s="7">
        <f t="shared" si="10"/>
        <v>1</v>
      </c>
      <c r="R23" s="7">
        <f t="shared" si="11"/>
        <v>3</v>
      </c>
      <c r="S23" s="10" t="str" cm="1">
        <f t="array" ref="S23">INDEX('eD-ConceptMap'!$I$15:$N$98,Q23+1,R23)</f>
        <v>* group[=].element[=].target.code = #MedicationDispense.performer.actor.practitioner.name.family</v>
      </c>
    </row>
    <row r="24" spans="1:19" ht="44.25" x14ac:dyDescent="0.75">
      <c r="A24" s="17"/>
      <c r="B24" s="7" t="str">
        <f>eD!B16</f>
        <v>dispensedQuantity</v>
      </c>
      <c r="C24" s="7" t="str">
        <f>eD!C16</f>
        <v>B.1.9 Dispensed quantity</v>
      </c>
      <c r="D24" s="7" t="s">
        <v>636</v>
      </c>
      <c r="E24" s="10"/>
      <c r="F24" s="48" t="s">
        <v>301</v>
      </c>
      <c r="G24" s="48"/>
      <c r="H24" s="49"/>
      <c r="I24" s="10" t="str">
        <f t="shared" si="4"/>
        <v>* group[=].element[+].code = #Dispensation.dispensedQuantity</v>
      </c>
      <c r="J24" s="10" t="str">
        <f t="shared" si="5"/>
        <v>* group[=].element[=].display = ##34#B.1.9 Dispensed quantity##34#</v>
      </c>
      <c r="K24" s="10" t="str">
        <f t="shared" si="6"/>
        <v>* group[=].element[=].target.code = #MedicationDispense.quantity</v>
      </c>
      <c r="L24" s="10" t="str">
        <f t="shared" si="7"/>
        <v>* group[=].element[=].target.display = ##34###34#</v>
      </c>
      <c r="M24" s="10" t="str">
        <f t="shared" si="8"/>
        <v>* group[=].element[=].target.equivalence = #equivalent</v>
      </c>
      <c r="N24" s="1" t="str">
        <f t="shared" si="9"/>
        <v/>
      </c>
      <c r="P24" s="7">
        <v>10</v>
      </c>
      <c r="Q24" s="7">
        <f t="shared" si="10"/>
        <v>1</v>
      </c>
      <c r="R24" s="7">
        <f t="shared" si="11"/>
        <v>4</v>
      </c>
      <c r="S24" s="10" t="str" cm="1">
        <f t="array" ref="S24">INDEX('eD-ConceptMap'!$I$15:$N$98,Q24+1,R24)</f>
        <v>* group[=].element[=].target.display = ##34###34#</v>
      </c>
    </row>
    <row r="25" spans="1:19" ht="59" customHeight="1" x14ac:dyDescent="0.75">
      <c r="A25" s="17"/>
      <c r="B25" s="7" t="str">
        <f>eD!B17</f>
        <v>dispensationDate</v>
      </c>
      <c r="C25" s="7" t="str">
        <f>eD!C17</f>
        <v>B.1.10 Dispensation date</v>
      </c>
      <c r="D25" s="7" t="s">
        <v>637</v>
      </c>
      <c r="E25" s="10"/>
      <c r="F25" s="48" t="s">
        <v>301</v>
      </c>
      <c r="G25" s="48"/>
      <c r="H25" s="49"/>
      <c r="I25" s="10" t="str">
        <f t="shared" si="4"/>
        <v>* group[=].element[+].code = #Dispensation.dispensationDate</v>
      </c>
      <c r="J25" s="10" t="str">
        <f t="shared" si="5"/>
        <v>* group[=].element[=].display = ##34#B.1.10 Dispensation date##34#</v>
      </c>
      <c r="K25" s="10" t="str">
        <f t="shared" si="6"/>
        <v>* group[=].element[=].target.code = #MedicationDispense.whenHandedOver</v>
      </c>
      <c r="L25" s="10" t="str">
        <f t="shared" si="7"/>
        <v>* group[=].element[=].target.display = ##34###34#</v>
      </c>
      <c r="M25" s="10" t="str">
        <f t="shared" si="8"/>
        <v>* group[=].element[=].target.equivalence = #equivalent</v>
      </c>
      <c r="N25" s="1" t="str">
        <f t="shared" si="9"/>
        <v/>
      </c>
      <c r="P25" s="7">
        <v>11</v>
      </c>
      <c r="Q25" s="7">
        <f t="shared" si="10"/>
        <v>1</v>
      </c>
      <c r="R25" s="7">
        <f t="shared" si="11"/>
        <v>5</v>
      </c>
      <c r="S25" s="10" t="str" cm="1">
        <f t="array" ref="S25">INDEX('eD-ConceptMap'!$I$15:$N$98,Q25+1,R25)</f>
        <v>* group[=].element[=].target.equivalence = #relatedto</v>
      </c>
    </row>
    <row r="26" spans="1:19" ht="73.75" customHeight="1" x14ac:dyDescent="0.75">
      <c r="B26" s="7" t="str">
        <f>eD!B18</f>
        <v>substitution</v>
      </c>
      <c r="C26" s="7" t="str">
        <f>eD!C18</f>
        <v>B.1.11 Substitution</v>
      </c>
      <c r="D26" s="7" t="s">
        <v>612</v>
      </c>
      <c r="E26" s="10"/>
      <c r="F26" s="48" t="s">
        <v>302</v>
      </c>
      <c r="G26" s="48"/>
      <c r="H26" s="49"/>
      <c r="I26" s="10" t="str">
        <f t="shared" si="4"/>
        <v>* group[=].element[+].code = #Dispensation.substitution</v>
      </c>
      <c r="J26" s="10" t="str">
        <f t="shared" si="5"/>
        <v>* group[=].element[=].display = ##34#B.1.11 Substitution##34#</v>
      </c>
      <c r="K26" s="10" t="str">
        <f t="shared" si="6"/>
        <v>* group[=].element[=].target.code = #MedicationDispense.substitution</v>
      </c>
      <c r="L26" s="10" t="str">
        <f t="shared" si="7"/>
        <v>* group[=].element[=].target.display = ##34###34#</v>
      </c>
      <c r="M26" s="10" t="str">
        <f t="shared" si="8"/>
        <v>* group[=].element[=].target.equivalence = #relatedto</v>
      </c>
      <c r="N26" s="1" t="str">
        <f t="shared" si="9"/>
        <v/>
      </c>
      <c r="P26" s="7">
        <v>12</v>
      </c>
      <c r="Q26" s="7">
        <f t="shared" si="10"/>
        <v>1</v>
      </c>
      <c r="R26" s="7">
        <f t="shared" si="11"/>
        <v>6</v>
      </c>
      <c r="S26" s="10" t="str" cm="1">
        <f t="array" ref="S26">INDEX('eD-ConceptMap'!$I$15:$N$98,Q26+1,R26)</f>
        <v>* group[=].element[=].target.comment = ##34#Assuming actor of type PractitionerRole##34#</v>
      </c>
    </row>
    <row r="27" spans="1:19" x14ac:dyDescent="0.75">
      <c r="P27" s="7">
        <v>13</v>
      </c>
      <c r="Q27" s="7">
        <f t="shared" si="10"/>
        <v>2</v>
      </c>
      <c r="R27" s="7">
        <f t="shared" si="11"/>
        <v>1</v>
      </c>
      <c r="S27" s="10" t="str" cm="1">
        <f t="array" ref="S27">INDEX('eD-ConceptMap'!$I$15:$N$98,Q27+1,R27)</f>
        <v>* group[=].element[+].code = #Dispensation.dispenserGivenName</v>
      </c>
    </row>
    <row r="28" spans="1:19" x14ac:dyDescent="0.75">
      <c r="P28" s="7">
        <v>14</v>
      </c>
      <c r="Q28" s="7">
        <f t="shared" si="10"/>
        <v>2</v>
      </c>
      <c r="R28" s="7">
        <f t="shared" si="11"/>
        <v>2</v>
      </c>
      <c r="S28" s="10" t="str" cm="1">
        <f t="array" ref="S28">INDEX('eD-ConceptMap'!$I$15:$N$98,Q28+1,R28)</f>
        <v>* group[=].element[=].display = ##34#B.1.3 Given name of the dispenser##34#</v>
      </c>
    </row>
    <row r="29" spans="1:19" x14ac:dyDescent="0.75">
      <c r="P29" s="7">
        <v>15</v>
      </c>
      <c r="Q29" s="7">
        <f t="shared" si="10"/>
        <v>2</v>
      </c>
      <c r="R29" s="7">
        <f t="shared" si="11"/>
        <v>3</v>
      </c>
      <c r="S29" s="10" t="str" cm="1">
        <f t="array" ref="S29">INDEX('eD-ConceptMap'!$I$15:$N$98,Q29+1,R29)</f>
        <v>* group[=].element[=].target.code = #MedicationDispense.performer.actor.practitioner.name.given</v>
      </c>
    </row>
    <row r="30" spans="1:19" x14ac:dyDescent="0.75">
      <c r="P30" s="7">
        <v>16</v>
      </c>
      <c r="Q30" s="7">
        <f t="shared" si="10"/>
        <v>2</v>
      </c>
      <c r="R30" s="7">
        <f t="shared" si="11"/>
        <v>4</v>
      </c>
      <c r="S30" s="10" t="str" cm="1">
        <f t="array" ref="S30">INDEX('eD-ConceptMap'!$I$15:$N$98,Q30+1,R30)</f>
        <v>* group[=].element[=].target.display = ##34###34#</v>
      </c>
    </row>
    <row r="31" spans="1:19" x14ac:dyDescent="0.75">
      <c r="P31" s="7">
        <v>17</v>
      </c>
      <c r="Q31" s="7">
        <f t="shared" si="10"/>
        <v>2</v>
      </c>
      <c r="R31" s="7">
        <f t="shared" si="11"/>
        <v>5</v>
      </c>
      <c r="S31" s="10" t="str" cm="1">
        <f t="array" ref="S31">INDEX('eD-ConceptMap'!$I$15:$N$98,Q31+1,R31)</f>
        <v>* group[=].element[=].target.equivalence = #equivalent</v>
      </c>
    </row>
    <row r="32" spans="1:19" x14ac:dyDescent="0.75">
      <c r="P32" s="7">
        <v>18</v>
      </c>
      <c r="Q32" s="7">
        <f t="shared" si="10"/>
        <v>2</v>
      </c>
      <c r="R32" s="7">
        <f t="shared" si="11"/>
        <v>6</v>
      </c>
      <c r="S32" s="10" t="str" cm="1">
        <f t="array" ref="S32">INDEX('eD-ConceptMap'!$I$15:$N$98,Q32+1,R32)</f>
        <v>* group[=].element[=].target.comment = ##34#Assuming actor of type PractitionerRole##34#</v>
      </c>
    </row>
    <row r="33" spans="16:19" x14ac:dyDescent="0.75">
      <c r="P33" s="7">
        <v>19</v>
      </c>
      <c r="Q33" s="7">
        <f t="shared" si="10"/>
        <v>3</v>
      </c>
      <c r="R33" s="7">
        <f t="shared" si="11"/>
        <v>1</v>
      </c>
      <c r="S33" s="10" t="str" cm="1">
        <f t="array" ref="S33">INDEX('eD-ConceptMap'!$I$15:$N$98,Q33+1,R33)</f>
        <v>* group[=].element[+].code = #Dispensation.pharmacyIdentifier</v>
      </c>
    </row>
    <row r="34" spans="16:19" x14ac:dyDescent="0.75">
      <c r="P34" s="7">
        <v>20</v>
      </c>
      <c r="Q34" s="7">
        <f t="shared" si="10"/>
        <v>3</v>
      </c>
      <c r="R34" s="7">
        <f t="shared" si="11"/>
        <v>2</v>
      </c>
      <c r="S34" s="10" t="str" cm="1">
        <f t="array" ref="S34">INDEX('eD-ConceptMap'!$I$15:$N$98,Q34+1,R34)</f>
        <v>* group[=].element[=].display = ##34#B.1.4 Identifier of the pharmacy##34#</v>
      </c>
    </row>
    <row r="35" spans="16:19" x14ac:dyDescent="0.75">
      <c r="P35" s="7">
        <v>21</v>
      </c>
      <c r="Q35" s="7">
        <f t="shared" si="10"/>
        <v>3</v>
      </c>
      <c r="R35" s="7">
        <f t="shared" si="11"/>
        <v>3</v>
      </c>
      <c r="S35" s="10" t="str" cm="1">
        <f t="array" ref="S35">INDEX('eD-ConceptMap'!$I$15:$N$98,Q35+1,R35)</f>
        <v>* group[=].element[=].target.code = #MedicationDispense.performer.actor.organization.identifier</v>
      </c>
    </row>
    <row r="36" spans="16:19" x14ac:dyDescent="0.75">
      <c r="P36" s="7">
        <v>22</v>
      </c>
      <c r="Q36" s="7">
        <f t="shared" si="10"/>
        <v>3</v>
      </c>
      <c r="R36" s="7">
        <f t="shared" si="11"/>
        <v>4</v>
      </c>
      <c r="S36" s="10" t="str" cm="1">
        <f t="array" ref="S36">INDEX('eD-ConceptMap'!$I$15:$N$98,Q36+1,R36)</f>
        <v>* group[=].element[=].target.display = ##34###34#</v>
      </c>
    </row>
    <row r="37" spans="16:19" x14ac:dyDescent="0.75">
      <c r="P37" s="7">
        <v>23</v>
      </c>
      <c r="Q37" s="7">
        <f t="shared" si="10"/>
        <v>3</v>
      </c>
      <c r="R37" s="7">
        <f t="shared" si="11"/>
        <v>5</v>
      </c>
      <c r="S37" s="10" t="str" cm="1">
        <f t="array" ref="S37">INDEX('eD-ConceptMap'!$I$15:$N$98,Q37+1,R37)</f>
        <v>* group[=].element[=].target.equivalence = #relatedto</v>
      </c>
    </row>
    <row r="38" spans="16:19" ht="44.25" x14ac:dyDescent="0.75">
      <c r="P38" s="7">
        <v>24</v>
      </c>
      <c r="Q38" s="7">
        <f t="shared" si="10"/>
        <v>3</v>
      </c>
      <c r="R38" s="7">
        <f t="shared" si="11"/>
        <v>6</v>
      </c>
      <c r="S38" s="10" t="str" cm="1">
        <f t="array" ref="S38">INDEX('eD-ConceptMap'!$I$15:$N$98,Q38+1,R38)</f>
        <v>* group[=].element[=].target.comment = ##34#Assuming actor of type PractitionerRole (to be checked this assume that the pharamcy  is the org the dispenser is working for…)##34#</v>
      </c>
    </row>
    <row r="39" spans="16:19" x14ac:dyDescent="0.75">
      <c r="P39" s="7">
        <v>25</v>
      </c>
      <c r="Q39" s="7">
        <f t="shared" si="10"/>
        <v>4</v>
      </c>
      <c r="R39" s="7">
        <f t="shared" si="11"/>
        <v>1</v>
      </c>
      <c r="S39" s="10" t="str" cm="1">
        <f t="array" ref="S39">INDEX('eD-ConceptMap'!$I$15:$N$98,Q39+1,R39)</f>
        <v>* group[=].element[+].code = #Dispensation.pharmacyIdentifier</v>
      </c>
    </row>
    <row r="40" spans="16:19" x14ac:dyDescent="0.75">
      <c r="P40" s="7">
        <v>26</v>
      </c>
      <c r="Q40" s="7">
        <f t="shared" si="10"/>
        <v>4</v>
      </c>
      <c r="R40" s="7">
        <f t="shared" si="11"/>
        <v>2</v>
      </c>
      <c r="S40" s="10" t="str" cm="1">
        <f t="array" ref="S40">INDEX('eD-ConceptMap'!$I$15:$N$98,Q40+1,R40)</f>
        <v>* group[=].element[=].display = ##34#B.1.4 Identifier of the pharmacy##34#</v>
      </c>
    </row>
    <row r="41" spans="16:19" x14ac:dyDescent="0.75">
      <c r="P41" s="7">
        <v>27</v>
      </c>
      <c r="Q41" s="7">
        <f t="shared" si="10"/>
        <v>4</v>
      </c>
      <c r="R41" s="7">
        <f t="shared" si="11"/>
        <v>3</v>
      </c>
      <c r="S41" s="10" t="str" cm="1">
        <f t="array" ref="S41">INDEX('eD-ConceptMap'!$I$15:$N$98,Q41+1,R41)</f>
        <v>* group[=].element[=].target.code = #MedicationDispense.performer.actor.identifier</v>
      </c>
    </row>
    <row r="42" spans="16:19" x14ac:dyDescent="0.75">
      <c r="P42" s="7">
        <v>28</v>
      </c>
      <c r="Q42" s="7">
        <f t="shared" si="10"/>
        <v>4</v>
      </c>
      <c r="R42" s="7">
        <f t="shared" si="11"/>
        <v>4</v>
      </c>
      <c r="S42" s="10" t="str" cm="1">
        <f t="array" ref="S42">INDEX('eD-ConceptMap'!$I$15:$N$98,Q42+1,R42)</f>
        <v>* group[=].element[=].target.display = ##34###34#</v>
      </c>
    </row>
    <row r="43" spans="16:19" x14ac:dyDescent="0.75">
      <c r="P43" s="7">
        <v>29</v>
      </c>
      <c r="Q43" s="7">
        <f t="shared" si="10"/>
        <v>4</v>
      </c>
      <c r="R43" s="7">
        <f t="shared" si="11"/>
        <v>5</v>
      </c>
      <c r="S43" s="10" t="str" cm="1">
        <f t="array" ref="S43">INDEX('eD-ConceptMap'!$I$15:$N$98,Q43+1,R43)</f>
        <v>* group[=].element[=].target.equivalence = #relatedto</v>
      </c>
    </row>
    <row r="44" spans="16:19" x14ac:dyDescent="0.75">
      <c r="P44" s="7">
        <v>30</v>
      </c>
      <c r="Q44" s="7">
        <f t="shared" si="10"/>
        <v>4</v>
      </c>
      <c r="R44" s="7">
        <f t="shared" si="11"/>
        <v>6</v>
      </c>
      <c r="S44" s="10" t="str" cm="1">
        <f t="array" ref="S44">INDEX('eD-ConceptMap'!$I$15:$N$98,Q44+1,R44)</f>
        <v>* group[=].element[=].target.comment = ##34#Assuming actor of type Organziation (to be checked this assumes that the pharamcy  is the org dispensing)##34#</v>
      </c>
    </row>
    <row r="45" spans="16:19" x14ac:dyDescent="0.75">
      <c r="P45" s="7">
        <v>31</v>
      </c>
      <c r="Q45" s="7">
        <f t="shared" si="10"/>
        <v>5</v>
      </c>
      <c r="R45" s="7">
        <f t="shared" si="11"/>
        <v>1</v>
      </c>
      <c r="S45" s="10" t="str" cm="1">
        <f t="array" ref="S45">INDEX('eD-ConceptMap'!$I$15:$N$98,Q45+1,R45)</f>
        <v>* group[=].element[+].code = #Dispensation.pharmacyAddress</v>
      </c>
    </row>
    <row r="46" spans="16:19" x14ac:dyDescent="0.75">
      <c r="P46" s="7">
        <v>32</v>
      </c>
      <c r="Q46" s="7">
        <f t="shared" si="10"/>
        <v>5</v>
      </c>
      <c r="R46" s="7">
        <f t="shared" si="11"/>
        <v>2</v>
      </c>
      <c r="S46" s="10" t="str" cm="1">
        <f t="array" ref="S46">INDEX('eD-ConceptMap'!$I$15:$N$98,Q46+1,R46)</f>
        <v>* group[=].element[=].display = ##34#B.1.5 Address of the pharmacy##34#</v>
      </c>
    </row>
    <row r="47" spans="16:19" x14ac:dyDescent="0.75">
      <c r="P47" s="7">
        <v>33</v>
      </c>
      <c r="Q47" s="7">
        <f t="shared" si="10"/>
        <v>5</v>
      </c>
      <c r="R47" s="7">
        <f t="shared" si="11"/>
        <v>3</v>
      </c>
      <c r="S47" s="10" t="str" cm="1">
        <f t="array" ref="S47">INDEX('eD-ConceptMap'!$I$15:$N$98,Q47+1,R47)</f>
        <v>* group[=].element[=].target.code = #MedicationDispense.performer.actor.address</v>
      </c>
    </row>
    <row r="48" spans="16:19" x14ac:dyDescent="0.75">
      <c r="P48" s="7">
        <v>34</v>
      </c>
      <c r="Q48" s="7">
        <f t="shared" si="10"/>
        <v>5</v>
      </c>
      <c r="R48" s="7">
        <f t="shared" si="11"/>
        <v>4</v>
      </c>
      <c r="S48" s="10" t="str" cm="1">
        <f t="array" ref="S48">INDEX('eD-ConceptMap'!$I$15:$N$98,Q48+1,R48)</f>
        <v>* group[=].element[=].target.display = ##34###34#</v>
      </c>
    </row>
    <row r="49" spans="16:19" x14ac:dyDescent="0.75">
      <c r="P49" s="7">
        <v>35</v>
      </c>
      <c r="Q49" s="7">
        <f t="shared" si="10"/>
        <v>5</v>
      </c>
      <c r="R49" s="7">
        <f t="shared" si="11"/>
        <v>5</v>
      </c>
      <c r="S49" s="10" t="str" cm="1">
        <f t="array" ref="S49">INDEX('eD-ConceptMap'!$I$15:$N$98,Q49+1,R49)</f>
        <v>* group[=].element[=].target.equivalence = #relatedto</v>
      </c>
    </row>
    <row r="50" spans="16:19" x14ac:dyDescent="0.75">
      <c r="P50" s="7">
        <v>36</v>
      </c>
      <c r="Q50" s="7">
        <f t="shared" si="10"/>
        <v>5</v>
      </c>
      <c r="R50" s="7">
        <f t="shared" si="11"/>
        <v>6</v>
      </c>
      <c r="S50" s="10" t="str" cm="1">
        <f t="array" ref="S50">INDEX('eD-ConceptMap'!$I$15:$N$98,Q50+1,R50)</f>
        <v>* group[=].element[=].target.comment = ##34#Assuming actor of type Organziation (to be checked this assumes that the pharamcy  is the org dispensing)##34#</v>
      </c>
    </row>
    <row r="51" spans="16:19" x14ac:dyDescent="0.75">
      <c r="P51" s="7">
        <v>37</v>
      </c>
      <c r="Q51" s="7">
        <f t="shared" si="10"/>
        <v>6</v>
      </c>
      <c r="R51" s="7">
        <f t="shared" si="11"/>
        <v>1</v>
      </c>
      <c r="S51" s="10" t="str" cm="1">
        <f t="array" ref="S51">INDEX('eD-ConceptMap'!$I$15:$N$98,Q51+1,R51)</f>
        <v>* group[=].element[+].code = #Dispensation.contactDetails</v>
      </c>
    </row>
    <row r="52" spans="16:19" x14ac:dyDescent="0.75">
      <c r="P52" s="7">
        <v>38</v>
      </c>
      <c r="Q52" s="7">
        <f t="shared" si="10"/>
        <v>6</v>
      </c>
      <c r="R52" s="7">
        <f t="shared" si="11"/>
        <v>2</v>
      </c>
      <c r="S52" s="10" t="str" cm="1">
        <f t="array" ref="S52">INDEX('eD-ConceptMap'!$I$15:$N$98,Q52+1,R52)</f>
        <v>* group[=].element[=].display = ##34#B.1.6 Details of direct contact##34#</v>
      </c>
    </row>
    <row r="53" spans="16:19" x14ac:dyDescent="0.75">
      <c r="P53" s="7">
        <v>39</v>
      </c>
      <c r="Q53" s="7">
        <f t="shared" si="10"/>
        <v>6</v>
      </c>
      <c r="R53" s="7">
        <f t="shared" si="11"/>
        <v>3</v>
      </c>
      <c r="S53" s="10" t="str" cm="1">
        <f t="array" ref="S53">INDEX('eD-ConceptMap'!$I$15:$N$98,Q53+1,R53)</f>
        <v>* group[=].element[=].target.code = #MedicationDispense.subject.contact</v>
      </c>
    </row>
    <row r="54" spans="16:19" x14ac:dyDescent="0.75">
      <c r="P54" s="7">
        <v>40</v>
      </c>
      <c r="Q54" s="7">
        <f t="shared" si="10"/>
        <v>6</v>
      </c>
      <c r="R54" s="7">
        <f t="shared" si="11"/>
        <v>4</v>
      </c>
      <c r="S54" s="10" t="str" cm="1">
        <f t="array" ref="S54">INDEX('eD-ConceptMap'!$I$15:$N$98,Q54+1,R54)</f>
        <v>* group[=].element[=].target.display = ##34###34#</v>
      </c>
    </row>
    <row r="55" spans="16:19" x14ac:dyDescent="0.75">
      <c r="P55" s="7">
        <v>41</v>
      </c>
      <c r="Q55" s="7">
        <f t="shared" si="10"/>
        <v>6</v>
      </c>
      <c r="R55" s="7">
        <f t="shared" si="11"/>
        <v>5</v>
      </c>
      <c r="S55" s="10" t="str" cm="1">
        <f t="array" ref="S55">INDEX('eD-ConceptMap'!$I$15:$N$98,Q55+1,R55)</f>
        <v>* group[=].element[=].target.equivalence = #relatedto</v>
      </c>
    </row>
    <row r="56" spans="16:19" x14ac:dyDescent="0.75">
      <c r="P56" s="7">
        <v>42</v>
      </c>
      <c r="Q56" s="7">
        <f t="shared" si="10"/>
        <v>6</v>
      </c>
      <c r="R56" s="7">
        <f t="shared" si="11"/>
        <v>6</v>
      </c>
      <c r="S56" s="10" t="str" cm="1">
        <f t="array" ref="S56">INDEX('eD-ConceptMap'!$I$15:$N$98,Q56+1,R56)</f>
        <v>* group[=].element[=].target.comment = ##34#subject of type Patient##34#</v>
      </c>
    </row>
    <row r="57" spans="16:19" x14ac:dyDescent="0.75">
      <c r="P57" s="7">
        <v>43</v>
      </c>
      <c r="Q57" s="7">
        <f t="shared" si="10"/>
        <v>7</v>
      </c>
      <c r="R57" s="7">
        <f t="shared" si="11"/>
        <v>1</v>
      </c>
      <c r="S57" s="10" t="str" cm="1">
        <f t="array" ref="S57">INDEX('eD-ConceptMap'!$I$15:$N$98,Q57+1,R57)</f>
        <v>* group[=].element[+].code = #Dispensation.prescriptionIdentifier</v>
      </c>
    </row>
    <row r="58" spans="16:19" x14ac:dyDescent="0.75">
      <c r="P58" s="7">
        <v>44</v>
      </c>
      <c r="Q58" s="7">
        <f t="shared" si="10"/>
        <v>7</v>
      </c>
      <c r="R58" s="7">
        <f t="shared" si="11"/>
        <v>2</v>
      </c>
      <c r="S58" s="10" t="str" cm="1">
        <f t="array" ref="S58">INDEX('eD-ConceptMap'!$I$15:$N$98,Q58+1,R58)</f>
        <v>* group[=].element[=].display = ##34#B.1.7 Identifier of the prescription##34#</v>
      </c>
    </row>
    <row r="59" spans="16:19" x14ac:dyDescent="0.75">
      <c r="P59" s="7">
        <v>45</v>
      </c>
      <c r="Q59" s="7">
        <f t="shared" si="10"/>
        <v>7</v>
      </c>
      <c r="R59" s="7">
        <f t="shared" si="11"/>
        <v>3</v>
      </c>
      <c r="S59" s="10" t="str" cm="1">
        <f t="array" ref="S59">INDEX('eD-ConceptMap'!$I$15:$N$98,Q59+1,R59)</f>
        <v>* group[=].element[=].target.code = #MedicationDispense.authorizingPrescription.identifier</v>
      </c>
    </row>
    <row r="60" spans="16:19" x14ac:dyDescent="0.75">
      <c r="P60" s="7">
        <v>46</v>
      </c>
      <c r="Q60" s="7">
        <f t="shared" si="10"/>
        <v>7</v>
      </c>
      <c r="R60" s="7">
        <f t="shared" si="11"/>
        <v>4</v>
      </c>
      <c r="S60" s="10" t="str" cm="1">
        <f t="array" ref="S60">INDEX('eD-ConceptMap'!$I$15:$N$98,Q60+1,R60)</f>
        <v>* group[=].element[=].target.display = ##34###34#</v>
      </c>
    </row>
    <row r="61" spans="16:19" x14ac:dyDescent="0.75">
      <c r="P61" s="7">
        <v>47</v>
      </c>
      <c r="Q61" s="7">
        <f t="shared" si="10"/>
        <v>7</v>
      </c>
      <c r="R61" s="7">
        <f t="shared" si="11"/>
        <v>5</v>
      </c>
      <c r="S61" s="10" t="str" cm="1">
        <f t="array" ref="S61">INDEX('eD-ConceptMap'!$I$15:$N$98,Q61+1,R61)</f>
        <v>* group[=].element[=].target.equivalence = #relatedto</v>
      </c>
    </row>
    <row r="62" spans="16:19" x14ac:dyDescent="0.75">
      <c r="P62" s="7">
        <v>48</v>
      </c>
      <c r="Q62" s="7">
        <f t="shared" si="10"/>
        <v>7</v>
      </c>
      <c r="R62" s="7">
        <f t="shared" si="11"/>
        <v>6</v>
      </c>
      <c r="S62" s="10" t="str" cm="1">
        <f t="array" ref="S62">INDEX('eD-ConceptMap'!$I$15:$N$98,Q62+1,R62)</f>
        <v>* group[=].element[=].target.comment = ##34#TO BE CHECKED is this true for multi-items prescriptions ?##34#</v>
      </c>
    </row>
    <row r="63" spans="16:19" x14ac:dyDescent="0.75">
      <c r="P63" s="7">
        <v>49</v>
      </c>
      <c r="Q63" s="7">
        <f t="shared" si="10"/>
        <v>8</v>
      </c>
      <c r="R63" s="7">
        <f t="shared" si="11"/>
        <v>1</v>
      </c>
      <c r="S63" s="10" t="str" cm="1">
        <f t="array" ref="S63">INDEX('eD-ConceptMap'!$I$15:$N$98,Q63+1,R63)</f>
        <v>* group[=].element[+].code = #Dispensation.medicinalProduct</v>
      </c>
    </row>
    <row r="64" spans="16:19" x14ac:dyDescent="0.75">
      <c r="P64" s="7">
        <v>50</v>
      </c>
      <c r="Q64" s="7">
        <f t="shared" si="10"/>
        <v>8</v>
      </c>
      <c r="R64" s="7">
        <f t="shared" si="11"/>
        <v>2</v>
      </c>
      <c r="S64" s="10" t="str" cm="1">
        <f t="array" ref="S64">INDEX('eD-ConceptMap'!$I$15:$N$98,Q64+1,R64)</f>
        <v>* group[=].element[=].display = ##34#B.1.8 Medicinal product##34#</v>
      </c>
    </row>
    <row r="65" spans="16:19" x14ac:dyDescent="0.75">
      <c r="P65" s="7">
        <v>51</v>
      </c>
      <c r="Q65" s="7">
        <f t="shared" si="10"/>
        <v>8</v>
      </c>
      <c r="R65" s="7">
        <f t="shared" si="11"/>
        <v>3</v>
      </c>
      <c r="S65" s="10" t="str" cm="1">
        <f t="array" ref="S65">INDEX('eD-ConceptMap'!$I$15:$N$98,Q65+1,R65)</f>
        <v>* group[=].element[=].target.code = #MedicationDispense.medicationReference</v>
      </c>
    </row>
    <row r="66" spans="16:19" x14ac:dyDescent="0.75">
      <c r="P66" s="7">
        <v>52</v>
      </c>
      <c r="Q66" s="7">
        <f t="shared" si="10"/>
        <v>8</v>
      </c>
      <c r="R66" s="7">
        <f t="shared" si="11"/>
        <v>4</v>
      </c>
      <c r="S66" s="10" t="str" cm="1">
        <f t="array" ref="S66">INDEX('eD-ConceptMap'!$I$15:$N$98,Q66+1,R66)</f>
        <v>* group[=].element[=].target.display = ##34###34#</v>
      </c>
    </row>
    <row r="67" spans="16:19" x14ac:dyDescent="0.75">
      <c r="P67" s="7">
        <v>53</v>
      </c>
      <c r="Q67" s="7">
        <f t="shared" si="10"/>
        <v>8</v>
      </c>
      <c r="R67" s="7">
        <f t="shared" si="11"/>
        <v>5</v>
      </c>
      <c r="S67" s="10" t="str" cm="1">
        <f t="array" ref="S67">INDEX('eD-ConceptMap'!$I$15:$N$98,Q67+1,R67)</f>
        <v>* group[=].element[=].target.equivalence = #relatedto</v>
      </c>
    </row>
    <row r="68" spans="16:19" x14ac:dyDescent="0.75">
      <c r="P68" s="7">
        <v>54</v>
      </c>
      <c r="Q68" s="7">
        <f t="shared" si="10"/>
        <v>8</v>
      </c>
      <c r="R68" s="7">
        <f t="shared" si="11"/>
        <v>6</v>
      </c>
      <c r="S68" s="10" t="str" cm="1">
        <f t="array" ref="S68">INDEX('eD-ConceptMap'!$I$15:$N$98,Q68+1,R68)</f>
        <v/>
      </c>
    </row>
    <row r="69" spans="16:19" x14ac:dyDescent="0.75">
      <c r="P69" s="7">
        <v>55</v>
      </c>
      <c r="Q69" s="7">
        <f t="shared" si="10"/>
        <v>9</v>
      </c>
      <c r="R69" s="7">
        <f t="shared" si="11"/>
        <v>1</v>
      </c>
      <c r="S69" s="10" t="str" cm="1">
        <f t="array" ref="S69">INDEX('eD-ConceptMap'!$I$15:$N$98,Q69+1,R69)</f>
        <v>* group[=].element[+].code = #Dispensation.dispensedQuantity</v>
      </c>
    </row>
    <row r="70" spans="16:19" x14ac:dyDescent="0.75">
      <c r="P70" s="7">
        <v>56</v>
      </c>
      <c r="Q70" s="7">
        <f t="shared" si="10"/>
        <v>9</v>
      </c>
      <c r="R70" s="7">
        <f t="shared" si="11"/>
        <v>2</v>
      </c>
      <c r="S70" s="10" t="str" cm="1">
        <f t="array" ref="S70">INDEX('eD-ConceptMap'!$I$15:$N$98,Q70+1,R70)</f>
        <v>* group[=].element[=].display = ##34#B.1.9 Dispensed quantity##34#</v>
      </c>
    </row>
    <row r="71" spans="16:19" x14ac:dyDescent="0.75">
      <c r="P71" s="7">
        <v>57</v>
      </c>
      <c r="Q71" s="7">
        <f t="shared" si="10"/>
        <v>9</v>
      </c>
      <c r="R71" s="7">
        <f t="shared" si="11"/>
        <v>3</v>
      </c>
      <c r="S71" s="10" t="str" cm="1">
        <f t="array" ref="S71">INDEX('eD-ConceptMap'!$I$15:$N$98,Q71+1,R71)</f>
        <v>* group[=].element[=].target.code = #MedicationDispense.quantity</v>
      </c>
    </row>
    <row r="72" spans="16:19" x14ac:dyDescent="0.75">
      <c r="P72" s="7">
        <v>58</v>
      </c>
      <c r="Q72" s="7">
        <f t="shared" si="10"/>
        <v>9</v>
      </c>
      <c r="R72" s="7">
        <f t="shared" si="11"/>
        <v>4</v>
      </c>
      <c r="S72" s="10" t="str" cm="1">
        <f t="array" ref="S72">INDEX('eD-ConceptMap'!$I$15:$N$98,Q72+1,R72)</f>
        <v>* group[=].element[=].target.display = ##34###34#</v>
      </c>
    </row>
    <row r="73" spans="16:19" x14ac:dyDescent="0.75">
      <c r="P73" s="7">
        <v>59</v>
      </c>
      <c r="Q73" s="7">
        <f t="shared" si="10"/>
        <v>9</v>
      </c>
      <c r="R73" s="7">
        <f t="shared" si="11"/>
        <v>5</v>
      </c>
      <c r="S73" s="10" t="str" cm="1">
        <f t="array" ref="S73">INDEX('eD-ConceptMap'!$I$15:$N$98,Q73+1,R73)</f>
        <v>* group[=].element[=].target.equivalence = #equivalent</v>
      </c>
    </row>
    <row r="74" spans="16:19" x14ac:dyDescent="0.75">
      <c r="P74" s="7">
        <v>60</v>
      </c>
      <c r="Q74" s="7">
        <f t="shared" si="10"/>
        <v>9</v>
      </c>
      <c r="R74" s="7">
        <f t="shared" si="11"/>
        <v>6</v>
      </c>
      <c r="S74" s="10" t="str" cm="1">
        <f t="array" ref="S74">INDEX('eD-ConceptMap'!$I$15:$N$98,Q74+1,R74)</f>
        <v/>
      </c>
    </row>
    <row r="75" spans="16:19" x14ac:dyDescent="0.75">
      <c r="P75" s="7">
        <v>61</v>
      </c>
      <c r="Q75" s="7">
        <f t="shared" si="10"/>
        <v>10</v>
      </c>
      <c r="R75" s="7">
        <f t="shared" si="11"/>
        <v>1</v>
      </c>
      <c r="S75" s="10" t="str" cm="1">
        <f t="array" ref="S75">INDEX('eD-ConceptMap'!$I$15:$N$98,Q75+1,R75)</f>
        <v>* group[=].element[+].code = #Dispensation.dispensationDate</v>
      </c>
    </row>
    <row r="76" spans="16:19" x14ac:dyDescent="0.75">
      <c r="P76" s="7">
        <v>62</v>
      </c>
      <c r="Q76" s="7">
        <f t="shared" si="10"/>
        <v>10</v>
      </c>
      <c r="R76" s="7">
        <f t="shared" si="11"/>
        <v>2</v>
      </c>
      <c r="S76" s="10" t="str" cm="1">
        <f t="array" ref="S76">INDEX('eD-ConceptMap'!$I$15:$N$98,Q76+1,R76)</f>
        <v>* group[=].element[=].display = ##34#B.1.10 Dispensation date##34#</v>
      </c>
    </row>
    <row r="77" spans="16:19" x14ac:dyDescent="0.75">
      <c r="P77" s="7">
        <v>63</v>
      </c>
      <c r="Q77" s="7">
        <f t="shared" si="10"/>
        <v>10</v>
      </c>
      <c r="R77" s="7">
        <f t="shared" si="11"/>
        <v>3</v>
      </c>
      <c r="S77" s="10" t="str" cm="1">
        <f t="array" ref="S77">INDEX('eD-ConceptMap'!$I$15:$N$98,Q77+1,R77)</f>
        <v>* group[=].element[=].target.code = #MedicationDispense.whenHandedOver</v>
      </c>
    </row>
    <row r="78" spans="16:19" x14ac:dyDescent="0.75">
      <c r="P78" s="7">
        <v>64</v>
      </c>
      <c r="Q78" s="7">
        <f t="shared" si="10"/>
        <v>10</v>
      </c>
      <c r="R78" s="7">
        <f t="shared" si="11"/>
        <v>4</v>
      </c>
      <c r="S78" s="10" t="str" cm="1">
        <f t="array" ref="S78">INDEX('eD-ConceptMap'!$I$15:$N$98,Q78+1,R78)</f>
        <v>* group[=].element[=].target.display = ##34###34#</v>
      </c>
    </row>
    <row r="79" spans="16:19" x14ac:dyDescent="0.75">
      <c r="P79" s="7">
        <v>65</v>
      </c>
      <c r="Q79" s="7">
        <f t="shared" si="10"/>
        <v>10</v>
      </c>
      <c r="R79" s="7">
        <f t="shared" si="11"/>
        <v>5</v>
      </c>
      <c r="S79" s="10" t="str" cm="1">
        <f t="array" ref="S79">INDEX('eD-ConceptMap'!$I$15:$N$98,Q79+1,R79)</f>
        <v>* group[=].element[=].target.equivalence = #equivalent</v>
      </c>
    </row>
    <row r="80" spans="16:19" x14ac:dyDescent="0.75">
      <c r="P80" s="7">
        <v>66</v>
      </c>
      <c r="Q80" s="7">
        <f t="shared" ref="Q80:Q98" si="12">IF(MOD(P80,$Q$8)=0,P80/$Q$8-1,INT(P80/$Q$8))</f>
        <v>10</v>
      </c>
      <c r="R80" s="7">
        <f t="shared" ref="R80:R98" si="13">IF(MOD(P80,$Q$8)=0,$Q$8,MOD(P80,$Q$8))</f>
        <v>6</v>
      </c>
      <c r="S80" s="10" t="str" cm="1">
        <f t="array" ref="S80">INDEX('eD-ConceptMap'!$I$15:$N$98,Q80+1,R80)</f>
        <v/>
      </c>
    </row>
    <row r="81" spans="16:19" x14ac:dyDescent="0.75">
      <c r="P81" s="7">
        <v>67</v>
      </c>
      <c r="Q81" s="7">
        <f t="shared" si="12"/>
        <v>11</v>
      </c>
      <c r="R81" s="7">
        <f t="shared" si="13"/>
        <v>1</v>
      </c>
      <c r="S81" s="10" t="str" cm="1">
        <f t="array" ref="S81">INDEX('eD-ConceptMap'!$I$15:$N$98,Q81+1,R81)</f>
        <v>* group[=].element[+].code = #Dispensation.substitution</v>
      </c>
    </row>
    <row r="82" spans="16:19" x14ac:dyDescent="0.75">
      <c r="P82" s="7">
        <v>68</v>
      </c>
      <c r="Q82" s="7">
        <f t="shared" si="12"/>
        <v>11</v>
      </c>
      <c r="R82" s="7">
        <f t="shared" si="13"/>
        <v>2</v>
      </c>
      <c r="S82" s="10" t="str" cm="1">
        <f t="array" ref="S82">INDEX('eD-ConceptMap'!$I$15:$N$98,Q82+1,R82)</f>
        <v>* group[=].element[=].display = ##34#B.1.11 Substitution##34#</v>
      </c>
    </row>
    <row r="83" spans="16:19" x14ac:dyDescent="0.75">
      <c r="P83" s="7">
        <v>69</v>
      </c>
      <c r="Q83" s="7">
        <f t="shared" si="12"/>
        <v>11</v>
      </c>
      <c r="R83" s="7">
        <f t="shared" si="13"/>
        <v>3</v>
      </c>
      <c r="S83" s="10" t="str" cm="1">
        <f t="array" ref="S83">INDEX('eD-ConceptMap'!$I$15:$N$98,Q83+1,R83)</f>
        <v>* group[=].element[=].target.code = #MedicationDispense.substitution</v>
      </c>
    </row>
    <row r="84" spans="16:19" x14ac:dyDescent="0.75">
      <c r="P84" s="7">
        <v>70</v>
      </c>
      <c r="Q84" s="7">
        <f t="shared" si="12"/>
        <v>11</v>
      </c>
      <c r="R84" s="7">
        <f t="shared" si="13"/>
        <v>4</v>
      </c>
      <c r="S84" s="10" t="str" cm="1">
        <f t="array" ref="S84">INDEX('eD-ConceptMap'!$I$15:$N$98,Q84+1,R84)</f>
        <v>* group[=].element[=].target.display = ##34###34#</v>
      </c>
    </row>
    <row r="85" spans="16:19" x14ac:dyDescent="0.75">
      <c r="P85" s="7">
        <v>71</v>
      </c>
      <c r="Q85" s="7">
        <f t="shared" si="12"/>
        <v>11</v>
      </c>
      <c r="R85" s="7">
        <f t="shared" si="13"/>
        <v>5</v>
      </c>
      <c r="S85" s="10" t="str" cm="1">
        <f t="array" ref="S85">INDEX('eD-ConceptMap'!$I$15:$N$98,Q85+1,R85)</f>
        <v>* group[=].element[=].target.equivalence = #relatedto</v>
      </c>
    </row>
    <row r="86" spans="16:19" x14ac:dyDescent="0.75">
      <c r="P86" s="7">
        <v>72</v>
      </c>
      <c r="Q86" s="7">
        <f t="shared" si="12"/>
        <v>11</v>
      </c>
      <c r="R86" s="7">
        <f t="shared" si="13"/>
        <v>6</v>
      </c>
      <c r="S86" s="10" t="str" cm="1">
        <f t="array" ref="S86">INDEX('eD-ConceptMap'!$I$15:$N$98,Q86+1,R86)</f>
        <v/>
      </c>
    </row>
    <row r="87" spans="16:19" x14ac:dyDescent="0.75">
      <c r="P87" s="7">
        <v>73</v>
      </c>
      <c r="Q87" s="7">
        <f t="shared" si="12"/>
        <v>12</v>
      </c>
      <c r="R87" s="7">
        <f t="shared" si="13"/>
        <v>1</v>
      </c>
      <c r="S87" s="10" cm="1">
        <f t="array" ref="S87">INDEX('eD-ConceptMap'!$I$15:$N$98,Q87+1,R87)</f>
        <v>0</v>
      </c>
    </row>
    <row r="88" spans="16:19" x14ac:dyDescent="0.75">
      <c r="P88" s="7">
        <v>74</v>
      </c>
      <c r="Q88" s="7">
        <f t="shared" si="12"/>
        <v>12</v>
      </c>
      <c r="R88" s="7">
        <f t="shared" si="13"/>
        <v>2</v>
      </c>
      <c r="S88" s="10" cm="1">
        <f t="array" ref="S88">INDEX('eD-ConceptMap'!$I$15:$N$98,Q88+1,R88)</f>
        <v>0</v>
      </c>
    </row>
    <row r="89" spans="16:19" x14ac:dyDescent="0.75">
      <c r="P89" s="7">
        <v>75</v>
      </c>
      <c r="Q89" s="7">
        <f t="shared" si="12"/>
        <v>12</v>
      </c>
      <c r="R89" s="7">
        <f t="shared" si="13"/>
        <v>3</v>
      </c>
      <c r="S89" s="10" cm="1">
        <f t="array" ref="S89">INDEX('eD-ConceptMap'!$I$15:$N$98,Q89+1,R89)</f>
        <v>0</v>
      </c>
    </row>
    <row r="90" spans="16:19" x14ac:dyDescent="0.75">
      <c r="P90" s="7">
        <v>76</v>
      </c>
      <c r="Q90" s="7">
        <f t="shared" si="12"/>
        <v>12</v>
      </c>
      <c r="R90" s="7">
        <f t="shared" si="13"/>
        <v>4</v>
      </c>
      <c r="S90" s="10" cm="1">
        <f t="array" ref="S90">INDEX('eD-ConceptMap'!$I$15:$N$98,Q90+1,R90)</f>
        <v>0</v>
      </c>
    </row>
    <row r="91" spans="16:19" x14ac:dyDescent="0.75">
      <c r="P91" s="7">
        <v>77</v>
      </c>
      <c r="Q91" s="7">
        <f t="shared" si="12"/>
        <v>12</v>
      </c>
      <c r="R91" s="7">
        <f t="shared" si="13"/>
        <v>5</v>
      </c>
      <c r="S91" s="10" cm="1">
        <f t="array" ref="S91">INDEX('eD-ConceptMap'!$I$15:$N$98,Q91+1,R91)</f>
        <v>0</v>
      </c>
    </row>
    <row r="92" spans="16:19" x14ac:dyDescent="0.75">
      <c r="P92" s="7">
        <v>78</v>
      </c>
      <c r="Q92" s="7">
        <f t="shared" si="12"/>
        <v>12</v>
      </c>
      <c r="R92" s="7">
        <f t="shared" si="13"/>
        <v>6</v>
      </c>
      <c r="S92" s="10" cm="1">
        <f t="array" ref="S92">INDEX('eD-ConceptMap'!$I$15:$N$98,Q92+1,R92)</f>
        <v>0</v>
      </c>
    </row>
    <row r="93" spans="16:19" x14ac:dyDescent="0.75">
      <c r="P93" s="7">
        <v>79</v>
      </c>
      <c r="Q93" s="7">
        <f t="shared" si="12"/>
        <v>13</v>
      </c>
      <c r="R93" s="7">
        <f t="shared" si="13"/>
        <v>1</v>
      </c>
      <c r="S93" s="10" cm="1">
        <f t="array" ref="S93">INDEX('eD-ConceptMap'!$I$15:$N$98,Q93+1,R93)</f>
        <v>0</v>
      </c>
    </row>
    <row r="94" spans="16:19" x14ac:dyDescent="0.75">
      <c r="P94" s="7">
        <v>80</v>
      </c>
      <c r="Q94" s="7">
        <f t="shared" si="12"/>
        <v>13</v>
      </c>
      <c r="R94" s="7">
        <f t="shared" si="13"/>
        <v>2</v>
      </c>
      <c r="S94" s="10" cm="1">
        <f t="array" ref="S94">INDEX('eD-ConceptMap'!$I$15:$N$98,Q94+1,R94)</f>
        <v>0</v>
      </c>
    </row>
    <row r="95" spans="16:19" x14ac:dyDescent="0.75">
      <c r="P95" s="7">
        <v>81</v>
      </c>
      <c r="Q95" s="7">
        <f t="shared" si="12"/>
        <v>13</v>
      </c>
      <c r="R95" s="7">
        <f t="shared" si="13"/>
        <v>3</v>
      </c>
      <c r="S95" s="10" cm="1">
        <f t="array" ref="S95">INDEX('eD-ConceptMap'!$I$15:$N$98,Q95+1,R95)</f>
        <v>0</v>
      </c>
    </row>
    <row r="96" spans="16:19" x14ac:dyDescent="0.75">
      <c r="P96" s="7">
        <v>82</v>
      </c>
      <c r="Q96" s="7">
        <f t="shared" si="12"/>
        <v>13</v>
      </c>
      <c r="R96" s="7">
        <f t="shared" si="13"/>
        <v>4</v>
      </c>
      <c r="S96" s="10" cm="1">
        <f t="array" ref="S96">INDEX('eD-ConceptMap'!$I$15:$N$98,Q96+1,R96)</f>
        <v>0</v>
      </c>
    </row>
    <row r="97" spans="16:19" x14ac:dyDescent="0.75">
      <c r="P97" s="7">
        <v>83</v>
      </c>
      <c r="Q97" s="7">
        <f t="shared" si="12"/>
        <v>13</v>
      </c>
      <c r="R97" s="7">
        <f t="shared" si="13"/>
        <v>5</v>
      </c>
      <c r="S97" s="10" cm="1">
        <f t="array" ref="S97">INDEX('eD-ConceptMap'!$I$15:$N$98,Q97+1,R97)</f>
        <v>0</v>
      </c>
    </row>
    <row r="98" spans="16:19" x14ac:dyDescent="0.75">
      <c r="P98" s="7">
        <v>84</v>
      </c>
      <c r="Q98" s="7">
        <f t="shared" si="12"/>
        <v>13</v>
      </c>
      <c r="R98" s="7">
        <f t="shared" si="13"/>
        <v>6</v>
      </c>
      <c r="S98" s="10" cm="1">
        <f t="array" ref="S98">INDEX('eD-ConceptMap'!$I$15:$N$98,Q98+1,R98)</f>
        <v>0</v>
      </c>
    </row>
  </sheetData>
  <mergeCells count="4">
    <mergeCell ref="E3:G3"/>
    <mergeCell ref="E4:G4"/>
    <mergeCell ref="E6:G6"/>
    <mergeCell ref="E7:G7"/>
  </mergeCells>
  <hyperlinks>
    <hyperlink ref="E4" r:id="rId1" display="http://hl7.eu/fhir/ig/xpandh-mpd/StructureDefinition/MedicationRequest-eu-xpandh" xr:uid="{47D10187-F5F8-4A51-85BB-B47390B82C11}"/>
    <hyperlink ref="E7" r:id="rId2" display="http://hl7.eu/fhir/laboratory/StructureDefinition/Patient-eu-lab" xr:uid="{BC6F73FD-512B-4305-A787-BCF4F641D762}"/>
    <hyperlink ref="C1" r:id="rId3" xr:uid="{3E8BDC90-6ECA-4FA9-9153-E4F8C986E70D}"/>
    <hyperlink ref="C6" r:id="rId4" xr:uid="{41BC2E5D-6304-4BA2-881F-20ABC9FB9DD9}"/>
  </hyperlinks>
  <pageMargins left="0.7" right="0.7" top="0.75" bottom="0.75" header="0.3" footer="0.3"/>
  <pageSetup paperSize="9"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45409-90C2-496B-BB7A-09388E450DF8}">
  <sheetPr codeName="Foglio75">
    <tabColor theme="0" tint="-0.34998626667073579"/>
  </sheetPr>
  <dimension ref="B1:G97"/>
  <sheetViews>
    <sheetView workbookViewId="0">
      <selection activeCell="B98" sqref="B98:G25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'eD-ConceptMap'!C4&amp;".fsh"</f>
        <v>eD2FHIR-eu-mpd.fsh</v>
      </c>
    </row>
    <row r="3" spans="2:7" x14ac:dyDescent="0.75">
      <c r="B3" s="21" t="s">
        <v>21</v>
      </c>
    </row>
    <row r="4" spans="2:7" x14ac:dyDescent="0.75">
      <c r="B4" s="50" t="str">
        <f>"Instance: "&amp;'eD-ConceptMap'!C4</f>
        <v>Instance: eD2FHIR-eu-mpd</v>
      </c>
    </row>
    <row r="5" spans="2:7" x14ac:dyDescent="0.75">
      <c r="B5" s="50" t="s">
        <v>304</v>
      </c>
    </row>
    <row r="6" spans="2:7" x14ac:dyDescent="0.75">
      <c r="B6" s="50" t="s">
        <v>305</v>
      </c>
    </row>
    <row r="7" spans="2:7" x14ac:dyDescent="0.75">
      <c r="B7" s="50" t="s">
        <v>309</v>
      </c>
    </row>
    <row r="8" spans="2:7" x14ac:dyDescent="0.75">
      <c r="B8" s="50" t="str">
        <f>"* name = ##34#"&amp;'eD-ConceptMap'!C3&amp;"##34#"</f>
        <v>* name = ##34#eD2Fhir##34#</v>
      </c>
    </row>
    <row r="9" spans="2:7" x14ac:dyDescent="0.75">
      <c r="B9" s="50" t="str">
        <f>"* title = ##34#"&amp;'eD-ConceptMap'!C5&amp;"##34#"</f>
        <v>* title = ##34#eHN Dispense to this guide Map##34#</v>
      </c>
    </row>
    <row r="10" spans="2:7" x14ac:dyDescent="0.75">
      <c r="B10" s="50" t="s">
        <v>306</v>
      </c>
    </row>
    <row r="11" spans="2:7" x14ac:dyDescent="0.75">
      <c r="B11" s="50" t="s">
        <v>307</v>
      </c>
    </row>
    <row r="12" spans="2:7" x14ac:dyDescent="0.75">
      <c r="B12" s="50" t="str">
        <f>"* description = ##34#"&amp;'eD-ConceptMap'!C8&amp;"##34#"</f>
        <v>* description = ##34#eHN eDispensation Model to this guide Map##34#</v>
      </c>
    </row>
    <row r="13" spans="2:7" x14ac:dyDescent="0.75">
      <c r="B13" s="50" t="str">
        <f>"* purpose = ##34#"&amp;'eD-ConceptMap'!C9&amp;"##34#"</f>
        <v>* purpose = ##34#It shows how the eDispensation data set defined by the EU eHN guidelines is mapped into this guide##34#</v>
      </c>
    </row>
    <row r="14" spans="2:7" x14ac:dyDescent="0.75">
      <c r="B14" s="51" t="str">
        <f>"* sourceUri = ##34#"&amp;'eD-ConceptMap'!E3&amp;"##34#"</f>
        <v>* sourceUri = ##34#Canonical (EdispensationEhn)##34#</v>
      </c>
    </row>
    <row r="15" spans="2:7" x14ac:dyDescent="0.75">
      <c r="B15" s="51" t="str">
        <f>"* targetUri = ##34#"&amp;'eD-ConceptMap'!E4&amp;"##34#"</f>
        <v>* targetUri = ##34#Canonical(MedicationDispenseEuMpd)##34#</v>
      </c>
    </row>
    <row r="16" spans="2:7" x14ac:dyDescent="0.75">
      <c r="B16" s="50"/>
    </row>
    <row r="17" spans="2:7" x14ac:dyDescent="0.75">
      <c r="B17" s="52" t="str">
        <f>"* group[+].source = ##34#"&amp;'eD-ConceptMap'!E6&amp;"##34#"</f>
        <v>* group[+].source = ##34#Canonical (EdispensationEhn)##34#</v>
      </c>
    </row>
    <row r="18" spans="2:7" x14ac:dyDescent="0.75">
      <c r="B18" s="52" t="str">
        <f>"* group[=].target = ##34#"&amp;'eD-ConceptMap'!E7&amp;"##34#"</f>
        <v>* group[=].target = ##34#Canonical(MedicationDispenseEuMpd)##34#</v>
      </c>
    </row>
    <row r="19" spans="2:7" x14ac:dyDescent="0.75">
      <c r="B19" s="54"/>
    </row>
    <row r="20" spans="2:7" x14ac:dyDescent="0.75">
      <c r="B20" s="10" t="str">
        <f>IF('eD-ConceptMap'!S15=0,"//---END",'eD-ConceptMap'!S15)</f>
        <v>* group[=].element[+].code = #Dispensation.dispenserIdentifier</v>
      </c>
    </row>
    <row r="21" spans="2:7" x14ac:dyDescent="0.75">
      <c r="B21" s="10" t="str">
        <f>IF('eD-ConceptMap'!S16=0,"//---END",'eD-ConceptMap'!S16)</f>
        <v>* group[=].element[=].display = ##34#B.1.1 Identifier of the dispenser##34#</v>
      </c>
    </row>
    <row r="22" spans="2:7" x14ac:dyDescent="0.75">
      <c r="B22" s="10" t="str">
        <f>IF('eD-ConceptMap'!S17=0,"//---END",'eD-ConceptMap'!S17)</f>
        <v>* group[=].element[=].target.code = #MedicationDispense.performer.actor.identifier</v>
      </c>
    </row>
    <row r="23" spans="2:7" x14ac:dyDescent="0.75">
      <c r="B23" s="10" t="str">
        <f>IF('eD-ConceptMap'!S18=0,"//---END",'eD-ConceptMap'!S18)</f>
        <v>* group[=].element[=].target.display = ##34###34#</v>
      </c>
    </row>
    <row r="24" spans="2:7" x14ac:dyDescent="0.75">
      <c r="B24" s="10" t="str">
        <f>IF('eD-ConceptMap'!S19=0,"//---END",'eD-ConceptMap'!S19)</f>
        <v>* group[=].element[=].target.equivalence = #equivalent</v>
      </c>
    </row>
    <row r="25" spans="2:7" x14ac:dyDescent="0.75">
      <c r="B25" s="10" t="str">
        <f>IF('eD-ConceptMap'!S20=0,"//---END",'eD-ConceptMap'!S20)</f>
        <v/>
      </c>
      <c r="G25" s="8"/>
    </row>
    <row r="26" spans="2:7" x14ac:dyDescent="0.75">
      <c r="B26" s="10" t="str">
        <f>IF('eD-ConceptMap'!S21=0,"//---END",'eD-ConceptMap'!S21)</f>
        <v>* group[=].element[+].code = #Dispensation.dispenserFamilyName</v>
      </c>
    </row>
    <row r="27" spans="2:7" x14ac:dyDescent="0.75">
      <c r="B27" s="10" t="str">
        <f>IF('eD-ConceptMap'!S22=0,"//---END",'eD-ConceptMap'!S22)</f>
        <v>* group[=].element[=].display = ##34#B.1.2 Family name of the dispenser##34#</v>
      </c>
    </row>
    <row r="28" spans="2:7" x14ac:dyDescent="0.75">
      <c r="B28" s="10" t="str">
        <f>IF('eD-ConceptMap'!S23=0,"//---END",'eD-ConceptMap'!S23)</f>
        <v>* group[=].element[=].target.code = #MedicationDispense.performer.actor.practitioner.name.family</v>
      </c>
    </row>
    <row r="29" spans="2:7" x14ac:dyDescent="0.75">
      <c r="B29" s="10" t="str">
        <f>IF('eD-ConceptMap'!S24=0,"//---END",'eD-ConceptMap'!S24)</f>
        <v>* group[=].element[=].target.display = ##34###34#</v>
      </c>
    </row>
    <row r="30" spans="2:7" x14ac:dyDescent="0.75">
      <c r="B30" s="10" t="str">
        <f>IF('eD-ConceptMap'!S25=0,"//---END",'eD-ConceptMap'!S25)</f>
        <v>* group[=].element[=].target.equivalence = #relatedto</v>
      </c>
    </row>
    <row r="31" spans="2:7" x14ac:dyDescent="0.75">
      <c r="B31" s="10" t="str">
        <f>IF('eD-ConceptMap'!S26=0,"//---END",'eD-ConceptMap'!S26)</f>
        <v>* group[=].element[=].target.comment = ##34#Assuming actor of type PractitionerRole##34#</v>
      </c>
    </row>
    <row r="32" spans="2:7" x14ac:dyDescent="0.75">
      <c r="B32" s="10" t="str">
        <f>IF('eD-ConceptMap'!S27=0,"//---END",'eD-ConceptMap'!S27)</f>
        <v>* group[=].element[+].code = #Dispensation.dispenserGivenName</v>
      </c>
    </row>
    <row r="33" spans="2:2" x14ac:dyDescent="0.75">
      <c r="B33" s="10" t="str">
        <f>IF('eD-ConceptMap'!S28=0,"//---END",'eD-ConceptMap'!S28)</f>
        <v>* group[=].element[=].display = ##34#B.1.3 Given name of the dispenser##34#</v>
      </c>
    </row>
    <row r="34" spans="2:2" x14ac:dyDescent="0.75">
      <c r="B34" s="10" t="str">
        <f>IF('eD-ConceptMap'!S29=0,"//---END",'eD-ConceptMap'!S29)</f>
        <v>* group[=].element[=].target.code = #MedicationDispense.performer.actor.practitioner.name.given</v>
      </c>
    </row>
    <row r="35" spans="2:2" x14ac:dyDescent="0.75">
      <c r="B35" s="10" t="str">
        <f>IF('eD-ConceptMap'!S30=0,"//---END",'eD-ConceptMap'!S30)</f>
        <v>* group[=].element[=].target.display = ##34###34#</v>
      </c>
    </row>
    <row r="36" spans="2:2" x14ac:dyDescent="0.75">
      <c r="B36" s="10" t="str">
        <f>IF('eD-ConceptMap'!S31=0,"//---END",'eD-ConceptMap'!S31)</f>
        <v>* group[=].element[=].target.equivalence = #equivalent</v>
      </c>
    </row>
    <row r="37" spans="2:2" x14ac:dyDescent="0.75">
      <c r="B37" s="10" t="str">
        <f>IF('eD-ConceptMap'!S32=0,"//---END",'eD-ConceptMap'!S32)</f>
        <v>* group[=].element[=].target.comment = ##34#Assuming actor of type PractitionerRole##34#</v>
      </c>
    </row>
    <row r="38" spans="2:2" x14ac:dyDescent="0.75">
      <c r="B38" s="10" t="str">
        <f>IF('eD-ConceptMap'!S33=0,"//---END",'eD-ConceptMap'!S33)</f>
        <v>* group[=].element[+].code = #Dispensation.pharmacyIdentifier</v>
      </c>
    </row>
    <row r="39" spans="2:2" x14ac:dyDescent="0.75">
      <c r="B39" s="10" t="str">
        <f>IF('eD-ConceptMap'!S34=0,"//---END",'eD-ConceptMap'!S34)</f>
        <v>* group[=].element[=].display = ##34#B.1.4 Identifier of the pharmacy##34#</v>
      </c>
    </row>
    <row r="40" spans="2:2" x14ac:dyDescent="0.75">
      <c r="B40" s="10" t="str">
        <f>IF('eD-ConceptMap'!S35=0,"//---END",'eD-ConceptMap'!S35)</f>
        <v>* group[=].element[=].target.code = #MedicationDispense.performer.actor.organization.identifier</v>
      </c>
    </row>
    <row r="41" spans="2:2" x14ac:dyDescent="0.75">
      <c r="B41" s="10" t="str">
        <f>IF('eD-ConceptMap'!S36=0,"//---END",'eD-ConceptMap'!S36)</f>
        <v>* group[=].element[=].target.display = ##34###34#</v>
      </c>
    </row>
    <row r="42" spans="2:2" x14ac:dyDescent="0.75">
      <c r="B42" s="10" t="str">
        <f>IF('eD-ConceptMap'!S37=0,"//---END",'eD-ConceptMap'!S37)</f>
        <v>* group[=].element[=].target.equivalence = #relatedto</v>
      </c>
    </row>
    <row r="43" spans="2:2" ht="29.5" x14ac:dyDescent="0.75">
      <c r="B43" s="10" t="str">
        <f>IF('eD-ConceptMap'!S38=0,"//---END",'eD-ConceptMap'!S38)</f>
        <v>* group[=].element[=].target.comment = ##34#Assuming actor of type PractitionerRole (to be checked this assume that the pharamcy  is the org the dispenser is working for…)##34#</v>
      </c>
    </row>
    <row r="44" spans="2:2" x14ac:dyDescent="0.75">
      <c r="B44" s="10" t="str">
        <f>IF('eD-ConceptMap'!S39=0,"//---END",'eD-ConceptMap'!S39)</f>
        <v>* group[=].element[+].code = #Dispensation.pharmacyIdentifier</v>
      </c>
    </row>
    <row r="45" spans="2:2" x14ac:dyDescent="0.75">
      <c r="B45" s="10" t="str">
        <f>IF('eD-ConceptMap'!S40=0,"//---END",'eD-ConceptMap'!S40)</f>
        <v>* group[=].element[=].display = ##34#B.1.4 Identifier of the pharmacy##34#</v>
      </c>
    </row>
    <row r="46" spans="2:2" x14ac:dyDescent="0.75">
      <c r="B46" s="10" t="str">
        <f>IF('eD-ConceptMap'!S41=0,"//---END",'eD-ConceptMap'!S41)</f>
        <v>* group[=].element[=].target.code = #MedicationDispense.performer.actor.identifier</v>
      </c>
    </row>
    <row r="47" spans="2:2" x14ac:dyDescent="0.75">
      <c r="B47" s="10" t="str">
        <f>IF('eD-ConceptMap'!S42=0,"//---END",'eD-ConceptMap'!S42)</f>
        <v>* group[=].element[=].target.display = ##34###34#</v>
      </c>
    </row>
    <row r="48" spans="2:2" x14ac:dyDescent="0.75">
      <c r="B48" s="10" t="str">
        <f>IF('eD-ConceptMap'!S43=0,"//---END",'eD-ConceptMap'!S43)</f>
        <v>* group[=].element[=].target.equivalence = #relatedto</v>
      </c>
    </row>
    <row r="49" spans="2:2" x14ac:dyDescent="0.75">
      <c r="B49" s="10" t="str">
        <f>IF('eD-ConceptMap'!S44=0,"//---END",'eD-ConceptMap'!S44)</f>
        <v>* group[=].element[=].target.comment = ##34#Assuming actor of type Organziation (to be checked this assumes that the pharamcy  is the org dispensing)##34#</v>
      </c>
    </row>
    <row r="50" spans="2:2" x14ac:dyDescent="0.75">
      <c r="B50" s="10" t="str">
        <f>IF('eD-ConceptMap'!S45=0,"//---END",'eD-ConceptMap'!S45)</f>
        <v>* group[=].element[+].code = #Dispensation.pharmacyAddress</v>
      </c>
    </row>
    <row r="51" spans="2:2" x14ac:dyDescent="0.75">
      <c r="B51" s="10" t="str">
        <f>IF('eD-ConceptMap'!S46=0,"//---END",'eD-ConceptMap'!S46)</f>
        <v>* group[=].element[=].display = ##34#B.1.5 Address of the pharmacy##34#</v>
      </c>
    </row>
    <row r="52" spans="2:2" x14ac:dyDescent="0.75">
      <c r="B52" s="10" t="str">
        <f>IF('eD-ConceptMap'!S47=0,"//---END",'eD-ConceptMap'!S47)</f>
        <v>* group[=].element[=].target.code = #MedicationDispense.performer.actor.address</v>
      </c>
    </row>
    <row r="53" spans="2:2" x14ac:dyDescent="0.75">
      <c r="B53" s="10" t="str">
        <f>IF('eD-ConceptMap'!S48=0,"//---END",'eD-ConceptMap'!S48)</f>
        <v>* group[=].element[=].target.display = ##34###34#</v>
      </c>
    </row>
    <row r="54" spans="2:2" x14ac:dyDescent="0.75">
      <c r="B54" s="10" t="str">
        <f>IF('eD-ConceptMap'!S49=0,"//---END",'eD-ConceptMap'!S49)</f>
        <v>* group[=].element[=].target.equivalence = #relatedto</v>
      </c>
    </row>
    <row r="55" spans="2:2" x14ac:dyDescent="0.75">
      <c r="B55" s="10" t="str">
        <f>IF('eD-ConceptMap'!S50=0,"//---END",'eD-ConceptMap'!S50)</f>
        <v>* group[=].element[=].target.comment = ##34#Assuming actor of type Organziation (to be checked this assumes that the pharamcy  is the org dispensing)##34#</v>
      </c>
    </row>
    <row r="56" spans="2:2" x14ac:dyDescent="0.75">
      <c r="B56" s="10" t="str">
        <f>IF('eD-ConceptMap'!S51=0,"//---END",'eD-ConceptMap'!S51)</f>
        <v>* group[=].element[+].code = #Dispensation.contactDetails</v>
      </c>
    </row>
    <row r="57" spans="2:2" x14ac:dyDescent="0.75">
      <c r="B57" s="10" t="str">
        <f>IF('eD-ConceptMap'!S52=0,"//---END",'eD-ConceptMap'!S52)</f>
        <v>* group[=].element[=].display = ##34#B.1.6 Details of direct contact##34#</v>
      </c>
    </row>
    <row r="58" spans="2:2" x14ac:dyDescent="0.75">
      <c r="B58" s="10" t="str">
        <f>IF('eD-ConceptMap'!S53=0,"//---END",'eD-ConceptMap'!S53)</f>
        <v>* group[=].element[=].target.code = #MedicationDispense.subject.contact</v>
      </c>
    </row>
    <row r="59" spans="2:2" x14ac:dyDescent="0.75">
      <c r="B59" s="10" t="str">
        <f>IF('eD-ConceptMap'!S54=0,"//---END",'eD-ConceptMap'!S54)</f>
        <v>* group[=].element[=].target.display = ##34###34#</v>
      </c>
    </row>
    <row r="60" spans="2:2" x14ac:dyDescent="0.75">
      <c r="B60" s="10" t="str">
        <f>IF('eD-ConceptMap'!S55=0,"//---END",'eD-ConceptMap'!S55)</f>
        <v>* group[=].element[=].target.equivalence = #relatedto</v>
      </c>
    </row>
    <row r="61" spans="2:2" x14ac:dyDescent="0.75">
      <c r="B61" s="10" t="str">
        <f>IF('eD-ConceptMap'!S56=0,"//---END",'eD-ConceptMap'!S56)</f>
        <v>* group[=].element[=].target.comment = ##34#subject of type Patient##34#</v>
      </c>
    </row>
    <row r="62" spans="2:2" x14ac:dyDescent="0.75">
      <c r="B62" s="10" t="str">
        <f>IF('eD-ConceptMap'!S57=0,"//---END",'eD-ConceptMap'!S57)</f>
        <v>* group[=].element[+].code = #Dispensation.prescriptionIdentifier</v>
      </c>
    </row>
    <row r="63" spans="2:2" x14ac:dyDescent="0.75">
      <c r="B63" s="10" t="str">
        <f>IF('eD-ConceptMap'!S58=0,"//---END",'eD-ConceptMap'!S58)</f>
        <v>* group[=].element[=].display = ##34#B.1.7 Identifier of the prescription##34#</v>
      </c>
    </row>
    <row r="64" spans="2:2" x14ac:dyDescent="0.75">
      <c r="B64" s="10" t="str">
        <f>IF('eD-ConceptMap'!S59=0,"//---END",'eD-ConceptMap'!S59)</f>
        <v>* group[=].element[=].target.code = #MedicationDispense.authorizingPrescription.identifier</v>
      </c>
    </row>
    <row r="65" spans="2:4" x14ac:dyDescent="0.75">
      <c r="B65" s="10" t="str">
        <f>IF('eD-ConceptMap'!S60=0,"//---END",'eD-ConceptMap'!S60)</f>
        <v>* group[=].element[=].target.display = ##34###34#</v>
      </c>
    </row>
    <row r="66" spans="2:4" x14ac:dyDescent="0.75">
      <c r="B66" s="10" t="str">
        <f>IF('eD-ConceptMap'!S61=0,"//---END",'eD-ConceptMap'!S61)</f>
        <v>* group[=].element[=].target.equivalence = #relatedto</v>
      </c>
    </row>
    <row r="67" spans="2:4" x14ac:dyDescent="0.75">
      <c r="B67" s="10" t="str">
        <f>IF('eD-ConceptMap'!S62=0,"//---END",'eD-ConceptMap'!S62)</f>
        <v>* group[=].element[=].target.comment = ##34#TO BE CHECKED is this true for multi-items prescriptions ?##34#</v>
      </c>
    </row>
    <row r="68" spans="2:4" x14ac:dyDescent="0.75">
      <c r="B68" s="10" t="str">
        <f>IF('eD-ConceptMap'!S63=0,"//---END",'eD-ConceptMap'!S63)</f>
        <v>* group[=].element[+].code = #Dispensation.medicinalProduct</v>
      </c>
    </row>
    <row r="69" spans="2:4" x14ac:dyDescent="0.75">
      <c r="B69" s="10" t="str">
        <f>IF('eD-ConceptMap'!S64=0,"//---END",'eD-ConceptMap'!S64)</f>
        <v>* group[=].element[=].display = ##34#B.1.8 Medicinal product##34#</v>
      </c>
    </row>
    <row r="70" spans="2:4" x14ac:dyDescent="0.75">
      <c r="B70" s="10" t="str">
        <f>IF('eD-ConceptMap'!S65=0,"//---END",'eD-ConceptMap'!S65)</f>
        <v>* group[=].element[=].target.code = #MedicationDispense.medicationReference</v>
      </c>
      <c r="D70" s="49"/>
    </row>
    <row r="71" spans="2:4" x14ac:dyDescent="0.75">
      <c r="B71" s="10" t="str">
        <f>IF('eD-ConceptMap'!S66=0,"//---END",'eD-ConceptMap'!S66)</f>
        <v>* group[=].element[=].target.display = ##34###34#</v>
      </c>
    </row>
    <row r="72" spans="2:4" x14ac:dyDescent="0.75">
      <c r="B72" s="10" t="str">
        <f>IF('eD-ConceptMap'!S67=0,"//---END",'eD-ConceptMap'!S67)</f>
        <v>* group[=].element[=].target.equivalence = #relatedto</v>
      </c>
    </row>
    <row r="73" spans="2:4" x14ac:dyDescent="0.75">
      <c r="B73" s="10" t="str">
        <f>IF('eD-ConceptMap'!S68=0,"//---END",'eD-ConceptMap'!S68)</f>
        <v/>
      </c>
    </row>
    <row r="74" spans="2:4" x14ac:dyDescent="0.75">
      <c r="B74" s="10" t="str">
        <f>IF('eD-ConceptMap'!S69=0,"//---END",'eD-ConceptMap'!S69)</f>
        <v>* group[=].element[+].code = #Dispensation.dispensedQuantity</v>
      </c>
    </row>
    <row r="75" spans="2:4" x14ac:dyDescent="0.75">
      <c r="B75" s="10" t="str">
        <f>IF('eD-ConceptMap'!S70=0,"//---END",'eD-ConceptMap'!S70)</f>
        <v>* group[=].element[=].display = ##34#B.1.9 Dispensed quantity##34#</v>
      </c>
    </row>
    <row r="76" spans="2:4" x14ac:dyDescent="0.75">
      <c r="B76" s="10" t="str">
        <f>IF('eD-ConceptMap'!S71=0,"//---END",'eD-ConceptMap'!S71)</f>
        <v>* group[=].element[=].target.code = #MedicationDispense.quantity</v>
      </c>
    </row>
    <row r="77" spans="2:4" x14ac:dyDescent="0.75">
      <c r="B77" s="10" t="str">
        <f>IF('eD-ConceptMap'!S72=0,"//---END",'eD-ConceptMap'!S72)</f>
        <v>* group[=].element[=].target.display = ##34###34#</v>
      </c>
    </row>
    <row r="78" spans="2:4" x14ac:dyDescent="0.75">
      <c r="B78" s="10" t="str">
        <f>IF('eD-ConceptMap'!S73=0,"//---END",'eD-ConceptMap'!S73)</f>
        <v>* group[=].element[=].target.equivalence = #equivalent</v>
      </c>
    </row>
    <row r="79" spans="2:4" x14ac:dyDescent="0.75">
      <c r="B79" s="10" t="str">
        <f>IF('eD-ConceptMap'!S74=0,"//---END",'eD-ConceptMap'!S74)</f>
        <v/>
      </c>
    </row>
    <row r="80" spans="2:4" x14ac:dyDescent="0.75">
      <c r="B80" s="10" t="str">
        <f>IF('eD-ConceptMap'!S75=0,"//---END",'eD-ConceptMap'!S75)</f>
        <v>* group[=].element[+].code = #Dispensation.dispensationDate</v>
      </c>
    </row>
    <row r="81" spans="2:2" x14ac:dyDescent="0.75">
      <c r="B81" s="10" t="str">
        <f>IF('eD-ConceptMap'!S76=0,"//---END",'eD-ConceptMap'!S76)</f>
        <v>* group[=].element[=].display = ##34#B.1.10 Dispensation date##34#</v>
      </c>
    </row>
    <row r="82" spans="2:2" x14ac:dyDescent="0.75">
      <c r="B82" s="10" t="str">
        <f>IF('eD-ConceptMap'!S77=0,"//---END",'eD-ConceptMap'!S77)</f>
        <v>* group[=].element[=].target.code = #MedicationDispense.whenHandedOver</v>
      </c>
    </row>
    <row r="83" spans="2:2" x14ac:dyDescent="0.75">
      <c r="B83" s="10" t="str">
        <f>IF('eD-ConceptMap'!S78=0,"//---END",'eD-ConceptMap'!S78)</f>
        <v>* group[=].element[=].target.display = ##34###34#</v>
      </c>
    </row>
    <row r="84" spans="2:2" x14ac:dyDescent="0.75">
      <c r="B84" s="10" t="str">
        <f>IF('eD-ConceptMap'!S79=0,"//---END",'eD-ConceptMap'!S79)</f>
        <v>* group[=].element[=].target.equivalence = #equivalent</v>
      </c>
    </row>
    <row r="85" spans="2:2" x14ac:dyDescent="0.75">
      <c r="B85" s="10" t="str">
        <f>IF('eD-ConceptMap'!S80=0,"//---END",'eD-ConceptMap'!S80)</f>
        <v/>
      </c>
    </row>
    <row r="86" spans="2:2" x14ac:dyDescent="0.75">
      <c r="B86" s="10" t="str">
        <f>IF('eD-ConceptMap'!S81=0,"//---END",'eD-ConceptMap'!S81)</f>
        <v>* group[=].element[+].code = #Dispensation.substitution</v>
      </c>
    </row>
    <row r="87" spans="2:2" x14ac:dyDescent="0.75">
      <c r="B87" s="10" t="str">
        <f>IF('eD-ConceptMap'!S82=0,"//---END",'eD-ConceptMap'!S82)</f>
        <v>* group[=].element[=].display = ##34#B.1.11 Substitution##34#</v>
      </c>
    </row>
    <row r="88" spans="2:2" x14ac:dyDescent="0.75">
      <c r="B88" s="10" t="str">
        <f>IF('eD-ConceptMap'!S83=0,"//---END",'eD-ConceptMap'!S83)</f>
        <v>* group[=].element[=].target.code = #MedicationDispense.substitution</v>
      </c>
    </row>
    <row r="89" spans="2:2" x14ac:dyDescent="0.75">
      <c r="B89" s="10" t="str">
        <f>IF('eD-ConceptMap'!S84=0,"//---END",'eD-ConceptMap'!S84)</f>
        <v>* group[=].element[=].target.display = ##34###34#</v>
      </c>
    </row>
    <row r="90" spans="2:2" x14ac:dyDescent="0.75">
      <c r="B90" s="10" t="str">
        <f>IF('eD-ConceptMap'!S85=0,"//---END",'eD-ConceptMap'!S85)</f>
        <v>* group[=].element[=].target.equivalence = #relatedto</v>
      </c>
    </row>
    <row r="91" spans="2:2" x14ac:dyDescent="0.75">
      <c r="B91" s="10" t="str">
        <f>IF('eD-ConceptMap'!S86=0,"//---END",'eD-ConceptMap'!S86)</f>
        <v/>
      </c>
    </row>
    <row r="92" spans="2:2" x14ac:dyDescent="0.75">
      <c r="B92" s="10" t="str">
        <f>IF('eD-ConceptMap'!S87=0,"//---END",'eD-ConceptMap'!S87)</f>
        <v>//---END</v>
      </c>
    </row>
    <row r="93" spans="2:2" x14ac:dyDescent="0.75">
      <c r="B93" s="10" t="str">
        <f>IF('eD-ConceptMap'!S88=0,"//---END",'eD-ConceptMap'!S88)</f>
        <v>//---END</v>
      </c>
    </row>
    <row r="94" spans="2:2" x14ac:dyDescent="0.75">
      <c r="B94" s="10" t="str">
        <f>IF('eD-ConceptMap'!S89=0,"//---END",'eD-ConceptMap'!S89)</f>
        <v>//---END</v>
      </c>
    </row>
    <row r="95" spans="2:2" x14ac:dyDescent="0.75">
      <c r="B95" s="10" t="str">
        <f>IF('eD-ConceptMap'!S90=0,"//---END",'eD-ConceptMap'!S90)</f>
        <v>//---END</v>
      </c>
    </row>
    <row r="96" spans="2:2" x14ac:dyDescent="0.75">
      <c r="B96" s="10" t="str">
        <f>IF('eD-ConceptMap'!S91=0,"//---END",'eD-ConceptMap'!S91)</f>
        <v>//---END</v>
      </c>
    </row>
    <row r="97" spans="2:2" x14ac:dyDescent="0.75">
      <c r="B97" s="10" t="str">
        <f>IF('eD-ConceptMap'!S92=0,"//---END",'eD-ConceptMap'!S92)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A66B7-B501-4E44-A074-D071C3AB448A}">
  <sheetPr codeName="Foglio60">
    <tabColor theme="7" tint="0.39997558519241921"/>
  </sheetPr>
  <dimension ref="A1:L44"/>
  <sheetViews>
    <sheetView topLeftCell="A25" workbookViewId="0">
      <selection activeCell="D31" sqref="D31"/>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361</v>
      </c>
      <c r="I4" s="18" t="str">
        <f>CONCATENATE("Logical: ",B4)</f>
        <v>Logical: EprescriptionEhn</v>
      </c>
    </row>
    <row r="5" spans="1:9" x14ac:dyDescent="0.75">
      <c r="A5" s="13" t="s">
        <v>17</v>
      </c>
      <c r="B5" s="22" t="s">
        <v>362</v>
      </c>
      <c r="I5" s="18" t="str">
        <f>CONCATENATE("Id: ",B5)</f>
        <v>Id: Prescription</v>
      </c>
    </row>
    <row r="6" spans="1:9" x14ac:dyDescent="0.75">
      <c r="A6" s="13" t="s">
        <v>13</v>
      </c>
      <c r="B6" s="14" t="s">
        <v>487</v>
      </c>
      <c r="I6" s="19" t="str">
        <f>CONCATENATE("Title: ##34#",B6,"##34#")</f>
        <v>Title: ##34#A - Prescription##34#</v>
      </c>
    </row>
    <row r="7" spans="1:9" ht="30.25" thickBot="1" x14ac:dyDescent="0.9">
      <c r="A7" s="15" t="s">
        <v>5</v>
      </c>
      <c r="B7" s="16" t="s">
        <v>363</v>
      </c>
      <c r="C7" s="9" t="s">
        <v>6</v>
      </c>
      <c r="D7" s="2" t="s">
        <v>7</v>
      </c>
      <c r="E7" s="3" t="s">
        <v>8</v>
      </c>
      <c r="F7" s="3" t="s">
        <v>9</v>
      </c>
      <c r="G7" s="3" t="s">
        <v>10</v>
      </c>
      <c r="I7" s="19" t="str">
        <f>CONCATENATE("Description: "," ##334#",B7,"##334#",)</f>
        <v>Description:  ##334#Prescription. Several Sections of the eHN guideline.##334#</v>
      </c>
    </row>
    <row r="8" spans="1:9" ht="44.25" x14ac:dyDescent="0.75">
      <c r="A8" s="7">
        <v>1</v>
      </c>
      <c r="B8" s="7" t="s">
        <v>373</v>
      </c>
      <c r="C8" t="s">
        <v>351</v>
      </c>
      <c r="D8" t="s">
        <v>364</v>
      </c>
      <c r="E8" s="7">
        <v>0</v>
      </c>
      <c r="F8" s="7" t="s">
        <v>11</v>
      </c>
      <c r="G8" s="53" t="s">
        <v>377</v>
      </c>
      <c r="H8" s="17"/>
      <c r="I8" s="10" t="str">
        <f>CONCATENATE("* ",B8, " ",E8,"..",F8," ",G8," ##34#",C8,"##34# ##334#",D8,"##334#")</f>
        <v>* patient 0..* http://hl7.eu/fhir/ig/xpandh-mpd/StructureDefinition/Subject ##34#A.1.1 Patient administrative data##34# ##334#Patient administrative data##334#</v>
      </c>
    </row>
    <row r="9" spans="1:9" ht="44.25" x14ac:dyDescent="0.75">
      <c r="A9" s="7">
        <v>2</v>
      </c>
      <c r="B9" s="7" t="s">
        <v>378</v>
      </c>
      <c r="C9" t="s">
        <v>365</v>
      </c>
      <c r="D9" t="s">
        <v>367</v>
      </c>
      <c r="E9" s="7">
        <v>0</v>
      </c>
      <c r="F9" s="7" t="s">
        <v>11</v>
      </c>
      <c r="G9" s="7" t="s">
        <v>4</v>
      </c>
      <c r="H9" s="17"/>
      <c r="I9" s="10" t="str">
        <f t="shared" ref="I9:I44" si="0">CONCATENATE("* ",B9, " ",E9,"..",F9," ",G9," ##34#",C9,"##34# ##334#",D9,"##334#")</f>
        <v>* authentication 0..* BackboneElement ##34#A.1.2 Authentication of the prescription##34# ##334#Authentication of the prescription##334#</v>
      </c>
    </row>
    <row r="10" spans="1:9" ht="73.75" x14ac:dyDescent="0.75">
      <c r="A10" s="7">
        <v>3</v>
      </c>
      <c r="B10" s="7" t="s">
        <v>404</v>
      </c>
      <c r="C10" s="1" t="s">
        <v>380</v>
      </c>
      <c r="D10" s="1" t="s">
        <v>379</v>
      </c>
      <c r="E10" s="7">
        <v>0</v>
      </c>
      <c r="F10" s="7" t="s">
        <v>11</v>
      </c>
      <c r="G10" s="7" t="s">
        <v>0</v>
      </c>
      <c r="H10" s="17"/>
      <c r="I10" s="10" t="str">
        <f t="shared" si="0"/>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row>
    <row r="11" spans="1:9" ht="44.25" x14ac:dyDescent="0.75">
      <c r="A11" s="7">
        <v>4</v>
      </c>
      <c r="B11" s="7" t="s">
        <v>405</v>
      </c>
      <c r="C11" t="s">
        <v>381</v>
      </c>
      <c r="D11" s="1" t="s">
        <v>382</v>
      </c>
      <c r="E11" s="7">
        <v>0</v>
      </c>
      <c r="F11" s="7" t="s">
        <v>11</v>
      </c>
      <c r="G11" s="7" t="s">
        <v>2</v>
      </c>
      <c r="H11" s="17"/>
      <c r="I11" s="10" t="str">
        <f t="shared" si="0"/>
        <v>* authentication.date 0..* dateTime ##34#A.1.2.2 Issue date##34# ##334#The date and optionally the time the prescription was issued.
 - Preferred system(s): ISO 8601 ##334#</v>
      </c>
    </row>
    <row r="12" spans="1:9" ht="44.25" x14ac:dyDescent="0.75">
      <c r="A12" s="7">
        <v>5</v>
      </c>
      <c r="B12" s="7" t="s">
        <v>374</v>
      </c>
      <c r="C12" t="s">
        <v>366</v>
      </c>
      <c r="D12" t="s">
        <v>368</v>
      </c>
      <c r="E12" s="7">
        <v>0</v>
      </c>
      <c r="F12" s="7">
        <v>1</v>
      </c>
      <c r="G12" s="7" t="s">
        <v>4</v>
      </c>
      <c r="H12" s="17"/>
      <c r="I12" s="10" t="str">
        <f t="shared" si="0"/>
        <v>* prescriber 0..1 BackboneElement ##34#A.1.3 Identification of the prescribing health professional##34# ##334#Identification of the prescribing health professional##334#</v>
      </c>
    </row>
    <row r="13" spans="1:9" ht="44.25" x14ac:dyDescent="0.75">
      <c r="A13" s="7">
        <v>6</v>
      </c>
      <c r="B13" s="7" t="s">
        <v>397</v>
      </c>
      <c r="C13" s="11" t="s">
        <v>383</v>
      </c>
      <c r="D13" s="10" t="s">
        <v>385</v>
      </c>
      <c r="E13" s="7">
        <v>0</v>
      </c>
      <c r="F13" s="7" t="s">
        <v>11</v>
      </c>
      <c r="G13" s="7" t="s">
        <v>3</v>
      </c>
      <c r="H13" s="17"/>
      <c r="I13" s="10" t="str">
        <f t="shared" si="0"/>
        <v>* prescriber.familyName 0..* string ##34#A.1.3.1 Familyname##34# ##334#The family name/surname/last name of the prescriber. This enables the prescriber to be traced in the event of questions or emergencies.##334#</v>
      </c>
    </row>
    <row r="14" spans="1:9" ht="29.5" x14ac:dyDescent="0.75">
      <c r="A14" s="7">
        <v>7</v>
      </c>
      <c r="B14" s="7" t="s">
        <v>398</v>
      </c>
      <c r="C14" s="11" t="s">
        <v>384</v>
      </c>
      <c r="D14" s="10" t="s">
        <v>386</v>
      </c>
      <c r="E14" s="7">
        <v>0</v>
      </c>
      <c r="F14" s="7" t="s">
        <v>11</v>
      </c>
      <c r="G14" s="7" t="s">
        <v>3</v>
      </c>
      <c r="H14" s="17"/>
      <c r="I14" s="10" t="str">
        <f t="shared" si="0"/>
        <v>* prescriber.givenName 0..* string ##34#A.1.3.2 Given name##34# ##334#The given name/ first name of the prescriber. This enables the prescriber to be traced in the event of questions or emergencies.##334#</v>
      </c>
    </row>
    <row r="15" spans="1:9" ht="103.25" x14ac:dyDescent="0.75">
      <c r="A15" s="7">
        <v>8</v>
      </c>
      <c r="B15" s="7" t="s">
        <v>399</v>
      </c>
      <c r="C15" t="s">
        <v>391</v>
      </c>
      <c r="D15" s="1" t="s">
        <v>392</v>
      </c>
      <c r="E15" s="7">
        <v>0</v>
      </c>
      <c r="F15" s="7" t="s">
        <v>11</v>
      </c>
      <c r="G15" s="7" t="s">
        <v>1</v>
      </c>
      <c r="H15" s="17"/>
      <c r="I15" s="10" t="str">
        <f t="shared" si="0"/>
        <v>* prescriber.qualification 0..* CodeableConcept ##34#A.1.3.3 Professional qualifications##34# ##334#The professional title of the prescribing health professional, which may be used to prove the authority of the prescriber.##334#</v>
      </c>
    </row>
    <row r="16" spans="1:9" ht="44.25" x14ac:dyDescent="0.75">
      <c r="A16" s="7">
        <v>9</v>
      </c>
      <c r="B16" s="7" t="s">
        <v>400</v>
      </c>
      <c r="C16" t="s">
        <v>390</v>
      </c>
      <c r="D16" s="1" t="s">
        <v>393</v>
      </c>
      <c r="E16" s="7">
        <v>0</v>
      </c>
      <c r="F16" s="7" t="s">
        <v>11</v>
      </c>
      <c r="G16" s="7" t="s">
        <v>260</v>
      </c>
      <c r="H16" s="17"/>
      <c r="I16" s="10" t="str">
        <f t="shared" si="0"/>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1:9" ht="44.25" x14ac:dyDescent="0.75">
      <c r="A17" s="7">
        <v>10</v>
      </c>
      <c r="B17" s="7" t="s">
        <v>401</v>
      </c>
      <c r="C17" t="s">
        <v>389</v>
      </c>
      <c r="D17" s="1" t="s">
        <v>394</v>
      </c>
      <c r="E17" s="7">
        <v>0</v>
      </c>
      <c r="F17" s="7" t="s">
        <v>11</v>
      </c>
      <c r="G17" s="7" t="s">
        <v>47</v>
      </c>
      <c r="H17" s="17"/>
      <c r="I17" s="10" t="str">
        <f t="shared" si="0"/>
        <v>* prescriber.workAddress 0..* Address ##34#A.1.3.5 Work address##34# ##334#This is the address of the hospital or the practice, etc. where the health professional normally works, meets patients and prescribes medication. Minimally, the country should be specified.##334#</v>
      </c>
    </row>
    <row r="18" spans="1:9" ht="44.25" x14ac:dyDescent="0.75">
      <c r="A18" s="7">
        <v>11</v>
      </c>
      <c r="B18" s="7" t="s">
        <v>402</v>
      </c>
      <c r="C18" t="s">
        <v>388</v>
      </c>
      <c r="D18" s="1" t="s">
        <v>395</v>
      </c>
      <c r="E18" s="7">
        <v>0</v>
      </c>
      <c r="F18" s="7" t="s">
        <v>11</v>
      </c>
      <c r="G18" s="7" t="s">
        <v>442</v>
      </c>
      <c r="H18" s="17"/>
      <c r="I18" s="10" t="str">
        <f t="shared" si="0"/>
        <v>* prescriber.signature 0..* Signature ##34#A.1.3.6 Signature##34# ##334#Digital signature or token as proof of the authenticity of the prescriber.##334#</v>
      </c>
    </row>
    <row r="19" spans="1:9" ht="59" x14ac:dyDescent="0.75">
      <c r="A19" s="7">
        <v>12</v>
      </c>
      <c r="B19" s="7" t="s">
        <v>403</v>
      </c>
      <c r="C19" t="s">
        <v>387</v>
      </c>
      <c r="D19" s="1" t="s">
        <v>396</v>
      </c>
      <c r="E19" s="7">
        <v>0</v>
      </c>
      <c r="F19" s="7" t="s">
        <v>11</v>
      </c>
      <c r="G19" s="7" t="s">
        <v>0</v>
      </c>
      <c r="H19" s="17"/>
      <c r="I19" s="10" t="str">
        <f t="shared" si="0"/>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1:9" ht="44.25" x14ac:dyDescent="0.75">
      <c r="A20" s="7">
        <v>13</v>
      </c>
      <c r="B20" s="7" t="s">
        <v>375</v>
      </c>
      <c r="C20" t="s">
        <v>369</v>
      </c>
      <c r="D20" t="s">
        <v>370</v>
      </c>
      <c r="E20" s="7">
        <v>0</v>
      </c>
      <c r="F20" s="7">
        <v>1</v>
      </c>
      <c r="G20" s="7" t="s">
        <v>486</v>
      </c>
      <c r="H20" s="17"/>
      <c r="I20" s="10" t="str">
        <f t="shared" si="0"/>
        <v>* product 0..1 http://hl7.eu/fhir/ig/xpandh-mpd/StructureDefinition/MedicinalProduct ##34#A1.4 Identification of the prescribed product##34# ##334#Identification of the prescribed product##334#</v>
      </c>
    </row>
    <row r="21" spans="1:9" ht="29.5" x14ac:dyDescent="0.75">
      <c r="A21" s="7">
        <v>14</v>
      </c>
      <c r="B21" s="7" t="s">
        <v>376</v>
      </c>
      <c r="C21" s="7" t="s">
        <v>371</v>
      </c>
      <c r="D21" s="10" t="s">
        <v>372</v>
      </c>
      <c r="E21" s="7">
        <v>0</v>
      </c>
      <c r="F21" s="7">
        <v>1</v>
      </c>
      <c r="G21" s="7" t="s">
        <v>4</v>
      </c>
      <c r="H21" s="7"/>
      <c r="I21" s="10" t="str">
        <f t="shared" si="0"/>
        <v>* details 0..1 BackboneElement ##34#A.1.5 Prescription information##34# ##334#Prescription information##334#</v>
      </c>
    </row>
    <row r="22" spans="1:9" ht="132.75" x14ac:dyDescent="0.75">
      <c r="A22" s="7">
        <v>15</v>
      </c>
      <c r="B22" s="7" t="s">
        <v>430</v>
      </c>
      <c r="C22" s="7" t="s">
        <v>406</v>
      </c>
      <c r="D22" s="10" t="s">
        <v>422</v>
      </c>
      <c r="E22" s="7">
        <v>0</v>
      </c>
      <c r="F22" s="7" t="s">
        <v>11</v>
      </c>
      <c r="G22" s="7" t="s">
        <v>443</v>
      </c>
      <c r="H22" s="7"/>
      <c r="I22" s="10" t="str">
        <f t="shared" si="0"/>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1:9" ht="88.5" x14ac:dyDescent="0.75">
      <c r="A23" s="7">
        <v>16</v>
      </c>
      <c r="B23" s="7" t="s">
        <v>431</v>
      </c>
      <c r="C23" s="7" t="s">
        <v>407</v>
      </c>
      <c r="D23" s="10" t="s">
        <v>423</v>
      </c>
      <c r="E23" s="7">
        <v>0</v>
      </c>
      <c r="F23" s="7" t="s">
        <v>11</v>
      </c>
      <c r="G23" s="7" t="s">
        <v>4</v>
      </c>
      <c r="H23" s="7"/>
      <c r="I23" s="10" t="str">
        <f t="shared" si="0"/>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1:9" ht="73.75" x14ac:dyDescent="0.75">
      <c r="A24" s="7">
        <v>17</v>
      </c>
      <c r="B24" s="7" t="s">
        <v>432</v>
      </c>
      <c r="C24" s="7" t="s">
        <v>408</v>
      </c>
      <c r="D24" s="10" t="s">
        <v>424</v>
      </c>
      <c r="E24" s="7">
        <v>0</v>
      </c>
      <c r="F24" s="7" t="s">
        <v>11</v>
      </c>
      <c r="G24" s="7" t="s">
        <v>443</v>
      </c>
      <c r="H24" s="7"/>
      <c r="I24" s="10" t="str">
        <f t="shared" si="0"/>
        <v>* details.doseRegimen.numOfIntakes 0..* Quantity ##34#A.1.5.3.1 Number of units per intake##34# ##334#The number of units per intake that the patient is taking. 
Example: 1 tablet 
 - Preferred system(s): UCUM, EDQM##334#</v>
      </c>
    </row>
    <row r="25" spans="1:9" ht="73.75" x14ac:dyDescent="0.75">
      <c r="A25" s="7">
        <v>18</v>
      </c>
      <c r="B25" s="7" t="s">
        <v>433</v>
      </c>
      <c r="C25" s="7" t="s">
        <v>425</v>
      </c>
      <c r="D25" s="10" t="s">
        <v>426</v>
      </c>
      <c r="E25" s="7">
        <v>0</v>
      </c>
      <c r="F25" s="7" t="s">
        <v>11</v>
      </c>
      <c r="G25" s="7" t="s">
        <v>444</v>
      </c>
      <c r="H25" s="7"/>
      <c r="I25" s="10" t="str">
        <f t="shared" si="0"/>
        <v>* details.doseRegimen.frequencyOfIntakes 0..* Timing ##34#A.1.5.3.2 Frequency of intakes##34# ##334#Frequency of intakes per hour/day/week/month. 
Example: every 24 hours
 - Preferred system(s): UCUM, HL7 TimingEvent##334#</v>
      </c>
    </row>
    <row r="26" spans="1:9" ht="59" x14ac:dyDescent="0.75">
      <c r="A26" s="7">
        <v>19</v>
      </c>
      <c r="B26" s="7" t="s">
        <v>434</v>
      </c>
      <c r="C26" s="7" t="s">
        <v>409</v>
      </c>
      <c r="D26" s="10" t="s">
        <v>427</v>
      </c>
      <c r="E26" s="7">
        <v>0</v>
      </c>
      <c r="F26" s="7" t="s">
        <v>11</v>
      </c>
      <c r="G26" s="7" t="s">
        <v>1</v>
      </c>
      <c r="H26" s="7"/>
      <c r="I26" s="10" t="str">
        <f t="shared" si="0"/>
        <v>* details.route 0..* CodeableConcept ##34#A.1.5.4 Route of administration##34# ##334#The route of administration as prescribed. 
Example: oral intake 
 - Preferred system(s): EDQM##334#</v>
      </c>
    </row>
    <row r="27" spans="1:9" ht="73.75" x14ac:dyDescent="0.75">
      <c r="A27" s="7">
        <v>20</v>
      </c>
      <c r="B27" s="7" t="s">
        <v>435</v>
      </c>
      <c r="C27" s="7" t="s">
        <v>410</v>
      </c>
      <c r="D27" s="10" t="s">
        <v>428</v>
      </c>
      <c r="E27" s="7">
        <v>0</v>
      </c>
      <c r="F27" s="7" t="s">
        <v>11</v>
      </c>
      <c r="G27" s="7" t="s">
        <v>445</v>
      </c>
      <c r="H27" s="7"/>
      <c r="I27" s="10" t="str">
        <f t="shared" si="0"/>
        <v>* details.duration 0..* Period ##34#A.1.5.5 Duration of treatment##34# ##334#The duration of the treatment as indicated by the Prescriber. Example: 14 days. 
Can be left blank for long-term therapies. 
 - Preferred system(s): UCUM##334#</v>
      </c>
    </row>
    <row r="28" spans="1:9" ht="44.25" x14ac:dyDescent="0.75">
      <c r="A28" s="7">
        <v>21</v>
      </c>
      <c r="B28" s="7" t="s">
        <v>436</v>
      </c>
      <c r="C28" s="7" t="s">
        <v>411</v>
      </c>
      <c r="D28" s="10" t="s">
        <v>429</v>
      </c>
      <c r="E28" s="7">
        <v>0</v>
      </c>
      <c r="F28" s="7" t="s">
        <v>11</v>
      </c>
      <c r="G28" s="7" t="s">
        <v>2</v>
      </c>
      <c r="H28" s="7"/>
      <c r="I28" s="10" t="str">
        <f t="shared" si="0"/>
        <v>* details.startDate 0..* dateTime ##34#A.1.5.6 Starting date of therapy ##34# ##334#The time and date on which it is agreed that therapy will start. 
 - Preferred system(s): ISO 8601##334#</v>
      </c>
    </row>
    <row r="29" spans="1:9" ht="73.75" x14ac:dyDescent="0.75">
      <c r="A29" s="7">
        <v>22</v>
      </c>
      <c r="B29" s="7" t="s">
        <v>437</v>
      </c>
      <c r="C29" s="7" t="s">
        <v>412</v>
      </c>
      <c r="D29" s="10" t="s">
        <v>421</v>
      </c>
      <c r="E29" s="7">
        <v>0</v>
      </c>
      <c r="F29" s="7" t="s">
        <v>11</v>
      </c>
      <c r="G29" s="7" t="s">
        <v>1</v>
      </c>
      <c r="H29" s="7"/>
      <c r="I29" s="10" t="str">
        <f t="shared" si="0"/>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1:9" ht="73.75" x14ac:dyDescent="0.75">
      <c r="A30" s="7">
        <v>23</v>
      </c>
      <c r="B30" s="7" t="s">
        <v>438</v>
      </c>
      <c r="C30" s="7" t="s">
        <v>413</v>
      </c>
      <c r="D30" s="10" t="s">
        <v>417</v>
      </c>
      <c r="E30" s="7">
        <v>0</v>
      </c>
      <c r="F30" s="7" t="s">
        <v>11</v>
      </c>
      <c r="G30" s="7" t="s">
        <v>2</v>
      </c>
      <c r="H30" s="7"/>
      <c r="I30" s="10" t="str">
        <f t="shared" si="0"/>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1:9" ht="118" x14ac:dyDescent="0.75">
      <c r="A31" s="7">
        <v>24</v>
      </c>
      <c r="B31" s="7" t="s">
        <v>439</v>
      </c>
      <c r="C31" s="7" t="s">
        <v>414</v>
      </c>
      <c r="D31" s="10" t="s">
        <v>418</v>
      </c>
      <c r="E31" s="7">
        <v>0</v>
      </c>
      <c r="F31" s="7" t="s">
        <v>11</v>
      </c>
      <c r="G31" s="7" t="s">
        <v>446</v>
      </c>
      <c r="H31" s="7"/>
      <c r="I31" s="10" t="str">
        <f t="shared" si="0"/>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1:9" ht="118" x14ac:dyDescent="0.75">
      <c r="A32" s="7">
        <v>25</v>
      </c>
      <c r="B32" s="7" t="s">
        <v>440</v>
      </c>
      <c r="C32" s="7" t="s">
        <v>415</v>
      </c>
      <c r="D32" s="10" t="s">
        <v>419</v>
      </c>
      <c r="E32" s="7">
        <v>0</v>
      </c>
      <c r="F32" s="7" t="s">
        <v>11</v>
      </c>
      <c r="G32" s="7" t="s">
        <v>1</v>
      </c>
      <c r="H32" s="7"/>
      <c r="I32" s="10" t="str">
        <f t="shared" si="0"/>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1:9" ht="44.25" x14ac:dyDescent="0.75">
      <c r="A33" s="7">
        <v>26</v>
      </c>
      <c r="B33" s="7" t="s">
        <v>441</v>
      </c>
      <c r="C33" s="7" t="s">
        <v>416</v>
      </c>
      <c r="D33" s="10" t="s">
        <v>420</v>
      </c>
      <c r="E33" s="7">
        <v>0</v>
      </c>
      <c r="F33" s="7" t="s">
        <v>11</v>
      </c>
      <c r="G33" s="7" t="s">
        <v>1</v>
      </c>
      <c r="H33" s="7"/>
      <c r="I33" s="10" t="str">
        <f t="shared" si="0"/>
        <v>* details.substitution 0..* CodeableConcept ##34#A.1.5.11 Substitution##34# ##334#Substitution handling can be recorded to indicate whether and to what extent substitution is allowed by the prescriber.##334#</v>
      </c>
    </row>
    <row r="34" spans="1:9" x14ac:dyDescent="0.75">
      <c r="I34" s="10" t="str">
        <f t="shared" si="0"/>
        <v>*  ..  ##34###34# ##334###334#</v>
      </c>
    </row>
    <row r="35" spans="1:9" x14ac:dyDescent="0.75">
      <c r="I35" s="10" t="str">
        <f t="shared" si="0"/>
        <v>*  ..  ##34###34# ##334###334#</v>
      </c>
    </row>
    <row r="36" spans="1:9" x14ac:dyDescent="0.75">
      <c r="I36" s="10" t="str">
        <f t="shared" si="0"/>
        <v>*  ..  ##34###34# ##334###334#</v>
      </c>
    </row>
    <row r="37" spans="1:9" x14ac:dyDescent="0.75">
      <c r="I37" s="10" t="str">
        <f t="shared" si="0"/>
        <v>*  ..  ##34###34# ##334###334#</v>
      </c>
    </row>
    <row r="38" spans="1:9" x14ac:dyDescent="0.75">
      <c r="I38" s="10" t="str">
        <f t="shared" si="0"/>
        <v>*  ..  ##34###34# ##334###334#</v>
      </c>
    </row>
    <row r="39" spans="1:9" x14ac:dyDescent="0.75">
      <c r="I39" s="10" t="str">
        <f t="shared" si="0"/>
        <v>*  ..  ##34###34# ##334###334#</v>
      </c>
    </row>
    <row r="40" spans="1:9" x14ac:dyDescent="0.75">
      <c r="I40" s="10" t="str">
        <f t="shared" si="0"/>
        <v>*  ..  ##34###34# ##334###334#</v>
      </c>
    </row>
    <row r="41" spans="1:9" x14ac:dyDescent="0.75">
      <c r="I41" s="10" t="str">
        <f t="shared" si="0"/>
        <v>*  ..  ##34###34# ##334###334#</v>
      </c>
    </row>
    <row r="42" spans="1:9" x14ac:dyDescent="0.75">
      <c r="I42" s="10" t="str">
        <f t="shared" si="0"/>
        <v>*  ..  ##34###34# ##334###334#</v>
      </c>
    </row>
    <row r="43" spans="1:9" x14ac:dyDescent="0.75">
      <c r="I43" s="10" t="str">
        <f t="shared" si="0"/>
        <v>*  ..  ##34###34# ##334###334#</v>
      </c>
    </row>
    <row r="44" spans="1:9" x14ac:dyDescent="0.75">
      <c r="I44" s="10" t="str">
        <f t="shared" si="0"/>
        <v>*  ..  ##34###34# ##334###334#</v>
      </c>
    </row>
  </sheetData>
  <phoneticPr fontId="16" type="noConversion"/>
  <hyperlinks>
    <hyperlink ref="G8" r:id="rId1" xr:uid="{C7A88BA0-E4CF-417E-9995-1D1B73C84FDF}"/>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4BD6B-077A-4D77-AB0F-5ECABD767963}">
  <sheetPr codeName="Foglio65">
    <tabColor theme="8" tint="-0.249977111117893"/>
  </sheetPr>
  <dimension ref="C1:G48"/>
  <sheetViews>
    <sheetView workbookViewId="0">
      <selection activeCell="D31" sqref="D31"/>
    </sheetView>
  </sheetViews>
  <sheetFormatPr defaultRowHeight="14.75" x14ac:dyDescent="0.75"/>
  <cols>
    <col min="3" max="3" width="108.2265625" style="10" customWidth="1"/>
    <col min="7" max="7" width="34.90625" customWidth="1"/>
  </cols>
  <sheetData>
    <row r="1" spans="3:7" ht="15.5" thickBot="1" x14ac:dyDescent="0.9">
      <c r="C1" s="20" t="str">
        <f>eP!I1</f>
        <v>// -------------------------------------------------------------------------------</v>
      </c>
    </row>
    <row r="2" spans="3:7" ht="16.75" thickBot="1" x14ac:dyDescent="0.9">
      <c r="C2" s="21" t="str">
        <f>eP!I2</f>
        <v>//  Logical Model</v>
      </c>
      <c r="G2" s="38" t="str">
        <f>eP!B5&amp;".fsh"</f>
        <v>Prescription.fsh</v>
      </c>
    </row>
    <row r="3" spans="3:7" x14ac:dyDescent="0.75">
      <c r="C3" s="21" t="str">
        <f>eP!I3</f>
        <v>// -------------------------------------------------------------------------------</v>
      </c>
    </row>
    <row r="4" spans="3:7" x14ac:dyDescent="0.75">
      <c r="C4" s="18" t="str">
        <f>eP!I4</f>
        <v>Logical: EprescriptionEhn</v>
      </c>
    </row>
    <row r="5" spans="3:7" x14ac:dyDescent="0.75">
      <c r="C5" s="18" t="str">
        <f>eP!I5</f>
        <v>Id: Prescription</v>
      </c>
    </row>
    <row r="6" spans="3:7" x14ac:dyDescent="0.75">
      <c r="C6" s="18" t="str">
        <f>eP!I6</f>
        <v>Title: ##34#A - Prescription##34#</v>
      </c>
    </row>
    <row r="7" spans="3:7" x14ac:dyDescent="0.75">
      <c r="C7" s="18" t="str">
        <f>eP!I7</f>
        <v>Description:  ##334#Prescription. Several Sections of the eHN guideline.##334#</v>
      </c>
    </row>
    <row r="8" spans="3:7" ht="29.5" x14ac:dyDescent="0.75">
      <c r="C8" s="10" t="str">
        <f>IF(eP!I8="*  ..  ##34###34# ##334###334#","//--- END",eP!I8)</f>
        <v>* patient 0..* http://hl7.eu/fhir/ig/xpandh-mpd/StructureDefinition/Subject ##34#A.1.1 Patient administrative data##34# ##334#Patient administrative data##334#</v>
      </c>
    </row>
    <row r="9" spans="3:7" ht="29.5" x14ac:dyDescent="0.75">
      <c r="C9" s="10" t="str">
        <f>IF(eP!I9="*  ..  ##34###34# ##334###334#","//--- END",eP!I9)</f>
        <v>* authentication 0..* BackboneElement ##34#A.1.2 Authentication of the prescription##34# ##334#Authentication of the prescription##334#</v>
      </c>
    </row>
    <row r="10" spans="3:7" ht="29.5" x14ac:dyDescent="0.75">
      <c r="C10" s="10" t="str">
        <f>IF(eP!I10="*  ..  ##34###34# ##334###334#","//--- END",eP!I10)</f>
        <v>* authentication.identifier 0..* Identifier ##34#A.1.2.1 Identifier of the Prescription##34# ##334#A  unique string generated by an EPS (Electronic Prescribing System) to 
uniquely identify a prescription; this unique code is needed for traceability. 
It might be used to register whether a prescription, and/or the maximum 
number of repeats, has already been dispensed. The identifier can consist of 
a root and an extension [ISO 21090:2011].##334#</v>
      </c>
      <c r="E10" t="s">
        <v>258</v>
      </c>
    </row>
    <row r="11" spans="3:7" ht="29.5" x14ac:dyDescent="0.75">
      <c r="C11" s="10" t="str">
        <f>IF(eP!I11="*  ..  ##34###34# ##334###334#","//--- END",eP!I11)</f>
        <v>* authentication.date 0..* dateTime ##34#A.1.2.2 Issue date##34# ##334#The date and optionally the time the prescription was issued.
 - Preferred system(s): ISO 8601 ##334#</v>
      </c>
    </row>
    <row r="12" spans="3:7" ht="29.5" x14ac:dyDescent="0.75">
      <c r="C12" s="10" t="str">
        <f>IF(eP!I12="*  ..  ##34###34# ##334###334#","//--- END",eP!I12)</f>
        <v>* prescriber 0..1 BackboneElement ##34#A.1.3 Identification of the prescribing health professional##34# ##334#Identification of the prescribing health professional##334#</v>
      </c>
    </row>
    <row r="13" spans="3:7" ht="29.5" x14ac:dyDescent="0.75">
      <c r="C13" s="10" t="str">
        <f>IF(eP!I13="*  ..  ##34###34# ##334###334#","//--- END",eP!I13)</f>
        <v>* prescriber.familyName 0..* string ##34#A.1.3.1 Familyname##34# ##334#The family name/surname/last name of the prescriber. This enables the prescriber to be traced in the event of questions or emergencies.##334#</v>
      </c>
    </row>
    <row r="14" spans="3:7" ht="29.5" x14ac:dyDescent="0.75">
      <c r="C14" s="10" t="str">
        <f>IF(eP!I14="*  ..  ##34###34# ##334###334#","//--- END",eP!I14)</f>
        <v>* prescriber.givenName 0..* string ##34#A.1.3.2 Given name##34# ##334#The given name/ first name of the prescriber. This enables the prescriber to be traced in the event of questions or emergencies.##334#</v>
      </c>
    </row>
    <row r="15" spans="3:7" ht="29.5" x14ac:dyDescent="0.75">
      <c r="C15" s="10" t="str">
        <f>IF(eP!I15="*  ..  ##34###34# ##334###334#","//--- END",eP!I15)</f>
        <v>* prescriber.qualification 0..* CodeableConcept ##34#A.1.3.3 Professional qualifications##34# ##334#The professional title of the prescribing health professional, which may be used to prove the authority of the prescriber.##334#</v>
      </c>
    </row>
    <row r="16" spans="3:7" ht="44.25" x14ac:dyDescent="0.75">
      <c r="C16" s="10" t="str">
        <f>IF(eP!I16="*  ..  ##34###34# ##334###334#","//--- END",eP!I16)</f>
        <v>* prescriber.contact 0..* ContactPoint ##34#A.1.3.4 Details for direct contact##34# ##334#Details for direct contact could be an email address and/or phone/fax number of the prescriber in order for the dispenser and/or patient to contact  the prescriber. This might be necessary if problems arise with dosage, allergies, reimbursement etc.##334#</v>
      </c>
    </row>
    <row r="17" spans="3:3" ht="44.25" x14ac:dyDescent="0.75">
      <c r="C17" s="10" t="str">
        <f>IF(eP!I17="*  ..  ##34###34# ##334###334#","//--- END",eP!I17)</f>
        <v>* prescriber.workAddress 0..* Address ##34#A.1.3.5 Work address##34# ##334#This is the address of the hospital or the practice, etc. where the health professional normally works, meets patients and prescribes medication. Minimally, the country should be specified.##334#</v>
      </c>
    </row>
    <row r="18" spans="3:3" ht="29.5" x14ac:dyDescent="0.75">
      <c r="C18" s="10" t="str">
        <f>IF(eP!I18="*  ..  ##34###34# ##334###334#","//--- END",eP!I18)</f>
        <v>* prescriber.signature 0..* Signature ##34#A.1.3.6 Signature##34# ##334#Digital signature or token as proof of the authenticity of the prescriber.##334#</v>
      </c>
    </row>
    <row r="19" spans="3:3" ht="59" x14ac:dyDescent="0.75">
      <c r="C19" s="10" t="str">
        <f>IF(eP!I19="*  ..  ##34###34# ##334###334#","//--- END",eP!I19)</f>
        <v>* prescriber.identifier 0..* Identifier ##34#A.1.3.7  Health care provider identifier##34# ##334#A unique number or code issued for the purpose of identifying a health care provider [ISO/TS 27527:2010]; this may be a licence or registration number which can be used to trace the prescriber and to check whether a medicinal product was prescribed by the right person according to the law of the prescribing country.##334#</v>
      </c>
    </row>
    <row r="20" spans="3:3" ht="29.5" x14ac:dyDescent="0.75">
      <c r="C20" s="10" t="str">
        <f>IF(eP!I20="*  ..  ##34###34# ##334###334#","//--- END",eP!I20)</f>
        <v>* product 0..1 http://hl7.eu/fhir/ig/xpandh-mpd/StructureDefinition/MedicinalProduct ##34#A1.4 Identification of the prescribed product##34# ##334#Identification of the prescribed product##334#</v>
      </c>
    </row>
    <row r="21" spans="3:3" x14ac:dyDescent="0.75">
      <c r="C21" s="10" t="str">
        <f>IF(eP!I21="*  ..  ##34###34# ##334###334#","//--- END",eP!I21)</f>
        <v>* details 0..1 BackboneElement ##34#A.1.5 Prescription information##34# ##334#Prescription information##334#</v>
      </c>
    </row>
    <row r="22" spans="3:3" ht="88.5" x14ac:dyDescent="0.75">
      <c r="C22" s="10" t="str">
        <f>IF(eP!I22="*  ..  ##34###34# ##334###334#","//--- END",eP!I22)</f>
        <v>* details.quantity 0..* Quantity ##34#A.1.5.2 Quantity of prescribed product##34# ##334#Total quantity or volume of the medicinal product that is prescribed to the specific patient. It can be provided as number of packages, given that the pack size is sufficiently described, or it can be the overall amount in appropriate units of measure (UCUM) or units of presentation (EDQM) (ml, g, tablets, vials).
Depending on national legislation, this quantity may or may not be dispensed in one dispensation.
 - Preferred system(s): UCUM, EDQM##334#</v>
      </c>
    </row>
    <row r="23" spans="3:3" ht="59" x14ac:dyDescent="0.75">
      <c r="C23" s="10" t="str">
        <f>IF(eP!I23="*  ..  ##34###34# ##334###334#","//--- END",eP!I23)</f>
        <v>* details.doseRegimen 0..* BackboneElement ##34#A.1.5.3 Dose regimen##34# ##334#The regimen governing the dose quantity per single administration, the dose frequency, and/or speed of administration (in the event of intravenous administration).
Note: this information may be used by the dispenser to calculate the quantity to be dispensed.##334#</v>
      </c>
    </row>
    <row r="24" spans="3:3" ht="59" x14ac:dyDescent="0.75">
      <c r="C24" s="10" t="str">
        <f>IF(eP!I24="*  ..  ##34###34# ##334###334#","//--- END",eP!I24)</f>
        <v>* details.doseRegimen.numOfIntakes 0..* Quantity ##34#A.1.5.3.1 Number of units per intake##34# ##334#The number of units per intake that the patient is taking. 
Example: 1 tablet 
 - Preferred system(s): UCUM, EDQM##334#</v>
      </c>
    </row>
    <row r="25" spans="3:3" ht="59" x14ac:dyDescent="0.75">
      <c r="C25" s="10" t="str">
        <f>IF(eP!I25="*  ..  ##34###34# ##334###334#","//--- END",eP!I25)</f>
        <v>* details.doseRegimen.frequencyOfIntakes 0..* Timing ##34#A.1.5.3.2 Frequency of intakes##34# ##334#Frequency of intakes per hour/day/week/month. 
Example: every 24 hours
 - Preferred system(s): UCUM, HL7 TimingEvent##334#</v>
      </c>
    </row>
    <row r="26" spans="3:3" ht="59" x14ac:dyDescent="0.75">
      <c r="C26" s="10" t="str">
        <f>IF(eP!I26="*  ..  ##34###34# ##334###334#","//--- END",eP!I26)</f>
        <v>* details.route 0..* CodeableConcept ##34#A.1.5.4 Route of administration##34# ##334#The route of administration as prescribed. 
Example: oral intake 
 - Preferred system(s): EDQM##334#</v>
      </c>
    </row>
    <row r="27" spans="3:3" ht="59" x14ac:dyDescent="0.75">
      <c r="C27" s="10" t="str">
        <f>IF(eP!I27="*  ..  ##34###34# ##334###334#","//--- END",eP!I27)</f>
        <v>* details.duration 0..* Period ##34#A.1.5.5 Duration of treatment##34# ##334#The duration of the treatment as indicated by the Prescriber. Example: 14 days. 
Can be left blank for long-term therapies. 
 - Preferred system(s): UCUM##334#</v>
      </c>
    </row>
    <row r="28" spans="3:3" ht="44.25" x14ac:dyDescent="0.75">
      <c r="C28" s="10" t="str">
        <f>IF(eP!I28="*  ..  ##34###34# ##334###334#","//--- END",eP!I28)</f>
        <v>* details.startDate 0..* dateTime ##34#A.1.5.6 Starting date of therapy ##34# ##334#The time and date on which it is agreed that therapy will start. 
 - Preferred system(s): ISO 8601##334#</v>
      </c>
    </row>
    <row r="29" spans="3:3" ht="59" x14ac:dyDescent="0.75">
      <c r="C29" s="10" t="str">
        <f>IF(eP!I29="*  ..  ##34###34# ##334###334#","//--- END",eP!I29)</f>
        <v>* details.directionsOfUse 0..* CodeableConcept ##34#A.1.5.7 Directions for use##34# ##334#Information about the directions for use of the prescribed medicinal product (such as ‘with food’ or ‘before a meal’) and any cautionary advice for correct use of the prescribed medicinal product by the patient.
 - Preferred system(s): HL7 TimingEvent##334#</v>
      </c>
    </row>
    <row r="30" spans="3:3" ht="59" x14ac:dyDescent="0.75">
      <c r="C30" s="10" t="str">
        <f>IF(eP!I30="*  ..  ##34###34# ##334###334#","//--- END",eP!I30)</f>
        <v>* details.expiryDate 0..* dateTime ##34#A.1.5.8 Prescription expiry date##34# ##334#This might be dependent on local or national policy or legislation, in accordance with the treatment plan or because the therapeutic need for the prescribed medicine has expired.
 - Preferred system(s): ISO 8601##334#</v>
      </c>
    </row>
    <row r="31" spans="3:3" ht="103.25" x14ac:dyDescent="0.75">
      <c r="C31" s="10" t="str">
        <f>IF(eP!I31="*  ..  ##34###34# ##334###334#","//--- END",eP!I31)</f>
        <v>* details.repeats 0..* integer ##34#A.1.5.9 Repeats##34# ##334#In some countries, when medicinal products are dispensed for the first time, 
the patient may only receive medication for a short period of time. When a 
patient starts taking medication for a chronic illness, the prescriber can issue a prescription for a longer period that is now separated by repeats. In addition, the maximum quantity (A.1.4.3) of the prescribed product that may be dispensed in one dispensation may be stated here.
Decision on dispensability is made in the country of prescription.##334#</v>
      </c>
    </row>
    <row r="32" spans="3:3" ht="73.75" x14ac:dyDescent="0.75">
      <c r="C32" s="10" t="str">
        <f>IF(eP!I32="*  ..  ##34###34# ##334###334#","//--- END",eP!I32)</f>
        <v>* details.reason 0..* CodeableConcept ##34#A.1.5.10 Reason for prescription##34# ##334#The reason why the medicine is being prescribed, including the option to mention that the medicinal product is being prescribed for ‘off label’ use. 
The reason for the prescription gives the dispenser the opportunity to review the prescription for medication safety issues.
Note: in some countries it is obligatory to state the reason for prescription on the prescription itself for some or all medicinal products.##334#</v>
      </c>
    </row>
    <row r="33" spans="3:7" ht="29.5" x14ac:dyDescent="0.75">
      <c r="C33" s="10" t="str">
        <f>IF(eP!I33="*  ..  ##34###34# ##334###334#","//--- END",eP!I33)</f>
        <v>* details.substitution 0..* CodeableConcept ##34#A.1.5.11 Substitution##34# ##334#Substitution handling can be recorded to indicate whether and to what extent substitution is allowed by the prescriber.##334#</v>
      </c>
    </row>
    <row r="34" spans="3:7" x14ac:dyDescent="0.75">
      <c r="C34" s="10" t="str">
        <f>IF(eP!I34="*  ..  ##34###34# ##334###334#","//--- END",eP!I34)</f>
        <v>//--- END</v>
      </c>
    </row>
    <row r="35" spans="3:7" x14ac:dyDescent="0.75">
      <c r="C35" s="10" t="str">
        <f>IF(eP!I35="*  ..  ##34###34# ##334###334#","//--- END",eP!I35)</f>
        <v>//--- END</v>
      </c>
    </row>
    <row r="36" spans="3:7" x14ac:dyDescent="0.75">
      <c r="C36" s="10" t="str">
        <f>IF(eP!I36="*  ..  ##34###34# ##334###334#","//--- END",eP!I36)</f>
        <v>//--- END</v>
      </c>
    </row>
    <row r="37" spans="3:7" x14ac:dyDescent="0.75">
      <c r="C37" s="10" t="str">
        <f>IF(eP!I37="*  ..  ##34###34# ##334###334#","//--- END",eP!I37)</f>
        <v>//--- END</v>
      </c>
    </row>
    <row r="48" spans="3: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3A6C-AF12-49DC-9D6A-1B989314CF17}">
  <sheetPr codeName="Foglio66">
    <tabColor theme="0" tint="-0.499984740745262"/>
  </sheetPr>
  <dimension ref="A1:S192"/>
  <sheetViews>
    <sheetView tabSelected="1" topLeftCell="G1" zoomScale="85" zoomScaleNormal="85"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C1&amp;eP!B5</f>
        <v>http://hl7.eu/fhir/ig/xpandh-mpd/StructureDefinition/Prescription</v>
      </c>
      <c r="F3" s="94"/>
      <c r="G3" s="94"/>
    </row>
    <row r="4" spans="1:19" x14ac:dyDescent="0.75">
      <c r="B4" s="46" t="s">
        <v>17</v>
      </c>
      <c r="C4" s="37" t="s">
        <v>517</v>
      </c>
      <c r="D4" s="46" t="s">
        <v>317</v>
      </c>
      <c r="E4" s="95" t="str">
        <f>C6&amp;"/StructureDefinition/"&amp;C7</f>
        <v>http://hl7.eu/fhir/ig/xpandh-mpd//StructureDefinition/MedicationRequest-eu-xpandh</v>
      </c>
      <c r="F4" s="94"/>
      <c r="G4" s="94"/>
    </row>
    <row r="5" spans="1:19" x14ac:dyDescent="0.75">
      <c r="B5" s="46" t="s">
        <v>13</v>
      </c>
      <c r="C5" s="8" t="s">
        <v>526</v>
      </c>
      <c r="D5" s="46"/>
      <c r="E5" s="8"/>
    </row>
    <row r="6" spans="1:19" x14ac:dyDescent="0.75">
      <c r="B6" s="46" t="s">
        <v>522</v>
      </c>
      <c r="C6" s="64" t="s">
        <v>525</v>
      </c>
      <c r="D6" s="46" t="s">
        <v>314</v>
      </c>
      <c r="E6" s="94" t="str">
        <f>E3</f>
        <v>http://hl7.eu/fhir/ig/xpandh-mpd/StructureDefinition/Prescription</v>
      </c>
      <c r="F6" s="94"/>
      <c r="G6" s="94"/>
    </row>
    <row r="7" spans="1:19" x14ac:dyDescent="0.75">
      <c r="B7" s="46" t="s">
        <v>523</v>
      </c>
      <c r="C7" s="53" t="s">
        <v>524</v>
      </c>
      <c r="D7" s="46" t="s">
        <v>315</v>
      </c>
      <c r="E7" s="95" t="str">
        <f>E4</f>
        <v>http://hl7.eu/fhir/ig/xpandh-mpd//StructureDefinition/MedicationRequest-eu-xpandh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f>
        <v>Prescription</v>
      </c>
      <c r="C14" s="7"/>
      <c r="D14" s="4" t="s">
        <v>492</v>
      </c>
      <c r="E14" s="6"/>
      <c r="F14" s="7"/>
      <c r="G14" s="7"/>
      <c r="I14" s="10"/>
      <c r="J14" s="7"/>
      <c r="K14" s="7"/>
      <c r="L14" s="7"/>
      <c r="M14" s="44"/>
      <c r="N14" s="47"/>
    </row>
    <row r="15" spans="1:19" ht="44.25" x14ac:dyDescent="0.75">
      <c r="A15" s="17"/>
      <c r="B15" s="7" t="str">
        <f>eP!B8</f>
        <v>patient</v>
      </c>
      <c r="C15" s="7" t="str">
        <f>eP!C8</f>
        <v>A.1.1 Patient administrative data</v>
      </c>
      <c r="D15" s="10" t="s">
        <v>308</v>
      </c>
      <c r="E15" s="40"/>
      <c r="F15" s="48" t="s">
        <v>301</v>
      </c>
      <c r="G15" s="48"/>
      <c r="H15" s="49"/>
      <c r="I15" s="10" t="str">
        <f>"* group[=].element[+].code = #"&amp;$B$14&amp;"."&amp;B15</f>
        <v>* group[=].element[+].code = #Prescription.patient</v>
      </c>
      <c r="J15" s="10" t="str">
        <f t="shared" ref="J15" si="0">"* group[=].element[=].display = ##34#"&amp;C15&amp;"##34#"</f>
        <v>* group[=].element[=].display = ##34#A.1.1 Patient administrative data##34#</v>
      </c>
      <c r="K15" s="10" t="str">
        <f>IF(F15="unmatched","//-- unmatched",IF(D15="","* group[=].element[=].target.code = #"&amp;$D$14,"* group[=].element[=].target.code = #"&amp;$D$14&amp;"."&amp;D15))</f>
        <v>* group[=].element[=].target.code = #MedicationRequest.subject</v>
      </c>
      <c r="L15" s="10" t="str">
        <f t="shared" ref="L15" si="1">IF(F15="unmatched","//-- unmatched","* group[=].element[=].target.display = ##34#"&amp;E15&amp;"##34#")</f>
        <v>* group[=].element[=].target.display = ##34###34#</v>
      </c>
      <c r="M15" s="10" t="str">
        <f t="shared" ref="M15" si="2">"* group[=].element[=].target.equivalence = #"&amp;F15</f>
        <v>* group[=].element[=].target.equivalence = #equivalent</v>
      </c>
      <c r="N15" s="4" t="str">
        <f t="shared" ref="N15:N28" si="3">IF(G15&lt;&gt;"",CONCATENATE("* group[=].element[=].target.comment = ","##34#",G15,"##34#"),"")</f>
        <v/>
      </c>
      <c r="P15" s="7">
        <v>1</v>
      </c>
      <c r="Q15" s="7">
        <f>IF(MOD(P15,$Q$8)=0,P15/$Q$8-1,INT(P15/$Q$8))</f>
        <v>0</v>
      </c>
      <c r="R15" s="7">
        <f>IF(MOD(P15,$Q$8)=0,$Q$8,MOD(P15,$Q$8))</f>
        <v>1</v>
      </c>
      <c r="S15" s="10" t="str" cm="1">
        <f t="array" ref="S15">INDEX('eP-ConceptMap'!$I$15:$N$272,Q15+1,R15)</f>
        <v>* group[=].element[+].code = #Prescription.patient</v>
      </c>
    </row>
    <row r="16" spans="1:19" ht="44.25" x14ac:dyDescent="0.75">
      <c r="A16" s="17"/>
      <c r="B16" s="7" t="str">
        <f>eP!B9</f>
        <v>authentication</v>
      </c>
      <c r="C16" s="7" t="str">
        <f>eP!C9</f>
        <v>A.1.2 Authentication of the prescription</v>
      </c>
      <c r="D16" s="7"/>
      <c r="E16" s="7"/>
      <c r="F16" s="48" t="s">
        <v>302</v>
      </c>
      <c r="G16" s="48"/>
      <c r="H16" s="49"/>
      <c r="I16" s="10" t="str">
        <f t="shared" ref="I16:I28" si="4">"* group[=].element[+].code = #"&amp;$B$14&amp;"."&amp;B16</f>
        <v>* group[=].element[+].code = #Prescription.authentication</v>
      </c>
      <c r="J16" s="10" t="str">
        <f t="shared" ref="J16:J28" si="5">"* group[=].element[=].display = ##34#"&amp;C16&amp;"##34#"</f>
        <v>* group[=].element[=].display = ##34#A.1.2 Authentication of the prescription##34#</v>
      </c>
      <c r="K16" s="10" t="str">
        <f t="shared" ref="K16:K28" si="6">IF(F16="unmatched","//-- unmatched",IF(D16="","* group[=].element[=].target.code = #"&amp;$D$14,"* group[=].element[=].target.code = #"&amp;$D$14&amp;"."&amp;D16))</f>
        <v>* group[=].element[=].target.code = #MedicationRequest</v>
      </c>
      <c r="L16" s="10" t="str">
        <f t="shared" ref="L16:L28" si="7">IF(F16="unmatched","//-- unmatched","* group[=].element[=].target.display = ##34#"&amp;E16&amp;"##34#")</f>
        <v>* group[=].element[=].target.display = ##34###34#</v>
      </c>
      <c r="M16" s="10" t="str">
        <f t="shared" ref="M16:M28" si="8">"* group[=].element[=].target.equivalence = #"&amp;F16</f>
        <v>* group[=].element[=].target.equivalence = #relatedto</v>
      </c>
      <c r="N16" s="10" t="str">
        <f t="shared" si="3"/>
        <v/>
      </c>
      <c r="P16" s="7">
        <v>2</v>
      </c>
      <c r="Q16" s="7">
        <f t="shared" ref="Q16:Q192" si="9">IF(MOD(P16,$Q$8)=0,P16/$Q$8-1,INT(P16/$Q$8))</f>
        <v>0</v>
      </c>
      <c r="R16" s="7">
        <f t="shared" ref="R16:R18" si="10">IF(MOD(P16,$Q$8)=0,$Q$8,MOD(P16,$Q$8))</f>
        <v>2</v>
      </c>
      <c r="S16" s="10" t="str" cm="1">
        <f t="array" ref="S16">INDEX('eP-ConceptMap'!$I$15:$N$272,Q16+1,R16)</f>
        <v>* group[=].element[=].display = ##34#A.1.1 Patient administrative data##34#</v>
      </c>
    </row>
    <row r="17" spans="1:19" ht="73.75" x14ac:dyDescent="0.75">
      <c r="A17" s="17"/>
      <c r="B17" s="7" t="str">
        <f>eP!B10</f>
        <v>authentication.identifier</v>
      </c>
      <c r="C17" s="7" t="str">
        <f>eP!C10</f>
        <v>A.1.2.1 Identifier of the Prescription</v>
      </c>
      <c r="D17" s="7" t="s">
        <v>272</v>
      </c>
      <c r="E17" s="7"/>
      <c r="F17" s="48" t="s">
        <v>301</v>
      </c>
      <c r="G17" s="48" t="s">
        <v>493</v>
      </c>
      <c r="H17" s="49"/>
      <c r="I17" s="10" t="str">
        <f t="shared" si="4"/>
        <v>* group[=].element[+].code = #Prescription.authentication.identifier</v>
      </c>
      <c r="J17" s="10" t="str">
        <f t="shared" si="5"/>
        <v>* group[=].element[=].display = ##34#A.1.2.1 Identifier of the Prescription##34#</v>
      </c>
      <c r="K17" s="10" t="str">
        <f t="shared" si="6"/>
        <v>* group[=].element[=].target.code = #MedicationRequest.identifier</v>
      </c>
      <c r="L17" s="10" t="str">
        <f t="shared" si="7"/>
        <v>* group[=].element[=].target.display = ##34###34#</v>
      </c>
      <c r="M17" s="10" t="str">
        <f t="shared" si="8"/>
        <v>* group[=].element[=].target.equivalence = #equivalent</v>
      </c>
      <c r="N17" s="10" t="str">
        <f t="shared" si="3"/>
        <v>* group[=].element[=].target.comment = ##34#if a prescription includes only one prescribed item##34#</v>
      </c>
      <c r="P17" s="7">
        <v>3</v>
      </c>
      <c r="Q17" s="7">
        <f t="shared" si="9"/>
        <v>0</v>
      </c>
      <c r="R17" s="7">
        <f t="shared" si="10"/>
        <v>3</v>
      </c>
      <c r="S17" s="10" t="str" cm="1">
        <f t="array" ref="S17">INDEX('eP-ConceptMap'!$I$15:$N$272,Q17+1,R17)</f>
        <v>* group[=].element[=].target.code = #MedicationRequest.subject</v>
      </c>
    </row>
    <row r="18" spans="1:19" ht="73.75" x14ac:dyDescent="0.75">
      <c r="A18" s="17"/>
      <c r="B18" s="7" t="str">
        <f>eP!B10</f>
        <v>authentication.identifier</v>
      </c>
      <c r="C18" s="7" t="str">
        <f>eP!C10</f>
        <v>A.1.2.1 Identifier of the Prescription</v>
      </c>
      <c r="D18" s="7" t="s">
        <v>495</v>
      </c>
      <c r="E18" s="7"/>
      <c r="F18" s="48" t="s">
        <v>301</v>
      </c>
      <c r="G18" s="48" t="s">
        <v>494</v>
      </c>
      <c r="H18" s="49"/>
      <c r="I18" s="10" t="str">
        <f t="shared" si="4"/>
        <v>* group[=].element[+].code = #Prescription.authentication.identifier</v>
      </c>
      <c r="J18" s="10" t="str">
        <f t="shared" si="5"/>
        <v>* group[=].element[=].display = ##34#A.1.2.1 Identifier of the Prescription##34#</v>
      </c>
      <c r="K18" s="10" t="str">
        <f t="shared" si="6"/>
        <v>* group[=].element[=].target.code = #MedicationRequest.groupIdentifier</v>
      </c>
      <c r="L18" s="10" t="str">
        <f t="shared" si="7"/>
        <v>* group[=].element[=].target.display = ##34###34#</v>
      </c>
      <c r="M18" s="10" t="str">
        <f t="shared" si="8"/>
        <v>* group[=].element[=].target.equivalence = #equivalent</v>
      </c>
      <c r="N18" s="10" t="str">
        <f t="shared" si="3"/>
        <v>* group[=].element[=].target.comment = ##34#if a prescription includes more then one prescribed item##34#</v>
      </c>
      <c r="P18" s="7">
        <v>4</v>
      </c>
      <c r="Q18" s="7">
        <f t="shared" si="9"/>
        <v>0</v>
      </c>
      <c r="R18" s="7">
        <f t="shared" si="10"/>
        <v>4</v>
      </c>
      <c r="S18" s="10" t="str" cm="1">
        <f t="array" ref="S18">INDEX('eP-ConceptMap'!$I$15:$N$272,Q18+1,R18)</f>
        <v>* group[=].element[=].target.display = ##34###34#</v>
      </c>
    </row>
    <row r="19" spans="1:19" ht="59" customHeight="1" x14ac:dyDescent="0.75">
      <c r="A19" s="17"/>
      <c r="B19" s="7" t="str">
        <f>eP!B11</f>
        <v>authentication.date</v>
      </c>
      <c r="C19" s="7" t="str">
        <f>eP!C11</f>
        <v>A.1.2.2 Issue date</v>
      </c>
      <c r="D19" s="7" t="s">
        <v>496</v>
      </c>
      <c r="E19" s="7"/>
      <c r="F19" s="48" t="s">
        <v>301</v>
      </c>
      <c r="G19" s="48"/>
      <c r="H19" s="49"/>
      <c r="I19" s="10" t="str">
        <f t="shared" si="4"/>
        <v>* group[=].element[+].code = #Prescription.authentication.date</v>
      </c>
      <c r="J19" s="10" t="str">
        <f t="shared" si="5"/>
        <v>* group[=].element[=].display = ##34#A.1.2.2 Issue date##34#</v>
      </c>
      <c r="K19" s="10" t="str">
        <f t="shared" si="6"/>
        <v>* group[=].element[=].target.code = #MedicationRequest.authoredOn</v>
      </c>
      <c r="L19" s="10" t="str">
        <f t="shared" si="7"/>
        <v>* group[=].element[=].target.display = ##34###34#</v>
      </c>
      <c r="M19" s="10" t="str">
        <f t="shared" si="8"/>
        <v>* group[=].element[=].target.equivalence = #equivalent</v>
      </c>
      <c r="N19" s="10" t="str">
        <f t="shared" si="3"/>
        <v/>
      </c>
      <c r="P19" s="7">
        <v>5</v>
      </c>
      <c r="Q19" s="7">
        <f t="shared" si="9"/>
        <v>0</v>
      </c>
      <c r="R19" s="7">
        <f t="shared" ref="R19:R26" si="11">IF(MOD(P19,$Q$8)=0,$Q$8,MOD(P19,$Q$8))</f>
        <v>5</v>
      </c>
      <c r="S19" s="10" t="str" cm="1">
        <f t="array" ref="S19">INDEX('eP-ConceptMap'!$I$15:$N$272,Q19+1,R19)</f>
        <v>* group[=].element[=].target.equivalence = #equivalent</v>
      </c>
    </row>
    <row r="20" spans="1:19" ht="44.25" x14ac:dyDescent="0.75">
      <c r="A20" s="17"/>
      <c r="B20" s="7" t="str">
        <f>eP!B12</f>
        <v>prescriber</v>
      </c>
      <c r="C20" s="7" t="str">
        <f>eP!C12</f>
        <v>A.1.3 Identification of the prescribing health professional</v>
      </c>
      <c r="D20" s="7" t="s">
        <v>497</v>
      </c>
      <c r="E20" s="7"/>
      <c r="F20" s="48" t="s">
        <v>301</v>
      </c>
      <c r="G20" s="48"/>
      <c r="H20" s="49"/>
      <c r="I20" s="10" t="str">
        <f t="shared" si="4"/>
        <v>* group[=].element[+].code = #Prescription.prescriber</v>
      </c>
      <c r="J20" s="10" t="str">
        <f t="shared" si="5"/>
        <v>* group[=].element[=].display = ##34#A.1.3 Identification of the prescribing health professional##34#</v>
      </c>
      <c r="K20" s="10" t="str">
        <f t="shared" si="6"/>
        <v>* group[=].element[=].target.code = #MedicationRequest.requester</v>
      </c>
      <c r="L20" s="10" t="str">
        <f t="shared" si="7"/>
        <v>* group[=].element[=].target.display = ##34###34#</v>
      </c>
      <c r="M20" s="10" t="str">
        <f t="shared" si="8"/>
        <v>* group[=].element[=].target.equivalence = #equivalent</v>
      </c>
      <c r="N20" s="10" t="str">
        <f t="shared" si="3"/>
        <v/>
      </c>
      <c r="P20" s="7">
        <v>6</v>
      </c>
      <c r="Q20" s="7">
        <f t="shared" si="9"/>
        <v>0</v>
      </c>
      <c r="R20" s="7">
        <f t="shared" si="11"/>
        <v>6</v>
      </c>
      <c r="S20" s="10" t="str" cm="1">
        <f t="array" ref="S20">INDEX('eP-ConceptMap'!$I$15:$N$272,Q20+1,R20)</f>
        <v/>
      </c>
    </row>
    <row r="21" spans="1:19" ht="59" x14ac:dyDescent="0.75">
      <c r="A21" s="17"/>
      <c r="B21" s="7" t="str">
        <f>eP!B13</f>
        <v>prescriber.familyName</v>
      </c>
      <c r="C21" s="7" t="str">
        <f>eP!C13</f>
        <v>A.1.3.1 Familyname</v>
      </c>
      <c r="D21" s="7" t="s">
        <v>497</v>
      </c>
      <c r="E21" s="7"/>
      <c r="F21" s="48" t="s">
        <v>302</v>
      </c>
      <c r="G21" s="48" t="s">
        <v>638</v>
      </c>
      <c r="H21" s="49"/>
      <c r="I21" s="10" t="str">
        <f t="shared" si="4"/>
        <v>* group[=].element[+].code = #Prescription.prescriber.familyName</v>
      </c>
      <c r="J21" s="10" t="str">
        <f t="shared" si="5"/>
        <v>* group[=].element[=].display = ##34#A.1.3.1 Familyname##34#</v>
      </c>
      <c r="K21" s="10" t="str">
        <f t="shared" si="6"/>
        <v>* group[=].element[=].target.code = #MedicationRequest.requester</v>
      </c>
      <c r="L21" s="10" t="str">
        <f t="shared" si="7"/>
        <v>* group[=].element[=].target.display = ##34###34#</v>
      </c>
      <c r="M21" s="10" t="str">
        <f t="shared" si="8"/>
        <v>* group[=].element[=].target.equivalence = #relatedto</v>
      </c>
      <c r="N21" s="10" t="str">
        <f t="shared" si="3"/>
        <v>* group[=].element[=].target.comment = ##34#Details in the referred Practitioner resource##34#</v>
      </c>
      <c r="P21" s="7">
        <v>7</v>
      </c>
      <c r="Q21" s="7">
        <f t="shared" si="9"/>
        <v>1</v>
      </c>
      <c r="R21" s="7">
        <f t="shared" si="11"/>
        <v>1</v>
      </c>
      <c r="S21" s="10" t="str" cm="1">
        <f t="array" ref="S21">INDEX('eP-ConceptMap'!$I$15:$N$272,Q21+1,R21)</f>
        <v>* group[=].element[+].code = #Prescription.authentication</v>
      </c>
    </row>
    <row r="22" spans="1:19" ht="59" x14ac:dyDescent="0.75">
      <c r="A22" s="17"/>
      <c r="B22" s="7" t="str">
        <f>eP!B14</f>
        <v>prescriber.givenName</v>
      </c>
      <c r="C22" s="7" t="str">
        <f>eP!C14</f>
        <v>A.1.3.2 Given name</v>
      </c>
      <c r="D22" s="7" t="s">
        <v>497</v>
      </c>
      <c r="E22" s="7"/>
      <c r="F22" s="48" t="s">
        <v>302</v>
      </c>
      <c r="G22" s="48" t="s">
        <v>638</v>
      </c>
      <c r="H22" s="49"/>
      <c r="I22" s="10" t="str">
        <f t="shared" si="4"/>
        <v>* group[=].element[+].code = #Prescription.prescriber.givenName</v>
      </c>
      <c r="J22" s="10" t="str">
        <f t="shared" si="5"/>
        <v>* group[=].element[=].display = ##34#A.1.3.2 Given name##34#</v>
      </c>
      <c r="K22" s="10" t="str">
        <f t="shared" si="6"/>
        <v>* group[=].element[=].target.code = #MedicationRequest.requester</v>
      </c>
      <c r="L22" s="10" t="str">
        <f t="shared" si="7"/>
        <v>* group[=].element[=].target.display = ##34###34#</v>
      </c>
      <c r="M22" s="10" t="str">
        <f t="shared" si="8"/>
        <v>* group[=].element[=].target.equivalence = #relatedto</v>
      </c>
      <c r="N22" s="10" t="str">
        <f t="shared" si="3"/>
        <v>* group[=].element[=].target.comment = ##34#Details in the referred Practitioner resource##34#</v>
      </c>
      <c r="P22" s="7">
        <v>8</v>
      </c>
      <c r="Q22" s="7">
        <f t="shared" si="9"/>
        <v>1</v>
      </c>
      <c r="R22" s="7">
        <f t="shared" si="11"/>
        <v>2</v>
      </c>
      <c r="S22" s="10" t="str" cm="1">
        <f t="array" ref="S22">INDEX('eP-ConceptMap'!$I$15:$N$272,Q22+1,R22)</f>
        <v>* group[=].element[=].display = ##34#A.1.2 Authentication of the prescription##34#</v>
      </c>
    </row>
    <row r="23" spans="1:19" ht="59" x14ac:dyDescent="0.75">
      <c r="A23" s="17"/>
      <c r="B23" s="7" t="str">
        <f>eP!B15</f>
        <v>prescriber.qualification</v>
      </c>
      <c r="C23" s="7" t="str">
        <f>eP!C15</f>
        <v>A.1.3.3 Professional qualifications</v>
      </c>
      <c r="D23" s="7" t="s">
        <v>497</v>
      </c>
      <c r="E23" s="7"/>
      <c r="F23" s="48" t="s">
        <v>302</v>
      </c>
      <c r="G23" s="48" t="s">
        <v>638</v>
      </c>
      <c r="H23" s="49"/>
      <c r="I23" s="10" t="str">
        <f t="shared" si="4"/>
        <v>* group[=].element[+].code = #Prescription.prescriber.qualification</v>
      </c>
      <c r="J23" s="10" t="str">
        <f t="shared" si="5"/>
        <v>* group[=].element[=].display = ##34#A.1.3.3 Professional qualifications##34#</v>
      </c>
      <c r="K23" s="10" t="str">
        <f t="shared" si="6"/>
        <v>* group[=].element[=].target.code = #MedicationRequest.requester</v>
      </c>
      <c r="L23" s="10" t="str">
        <f t="shared" si="7"/>
        <v>* group[=].element[=].target.display = ##34###34#</v>
      </c>
      <c r="M23" s="10" t="str">
        <f t="shared" si="8"/>
        <v>* group[=].element[=].target.equivalence = #relatedto</v>
      </c>
      <c r="N23" s="10" t="str">
        <f t="shared" si="3"/>
        <v>* group[=].element[=].target.comment = ##34#Details in the referred Practitioner resource##34#</v>
      </c>
      <c r="P23" s="7">
        <v>9</v>
      </c>
      <c r="Q23" s="7">
        <f t="shared" si="9"/>
        <v>1</v>
      </c>
      <c r="R23" s="7">
        <f t="shared" si="11"/>
        <v>3</v>
      </c>
      <c r="S23" s="10" t="str" cm="1">
        <f t="array" ref="S23">INDEX('eP-ConceptMap'!$I$15:$N$272,Q23+1,R23)</f>
        <v>* group[=].element[=].target.code = #MedicationRequest</v>
      </c>
    </row>
    <row r="24" spans="1:19" ht="59" x14ac:dyDescent="0.75">
      <c r="A24" s="17"/>
      <c r="B24" s="7" t="str">
        <f>eP!B16</f>
        <v>prescriber.contact</v>
      </c>
      <c r="C24" s="7" t="str">
        <f>eP!C16</f>
        <v>A.1.3.4 Details for direct contact</v>
      </c>
      <c r="D24" s="7" t="s">
        <v>497</v>
      </c>
      <c r="E24" s="10"/>
      <c r="F24" s="48" t="s">
        <v>302</v>
      </c>
      <c r="G24" s="48" t="s">
        <v>638</v>
      </c>
      <c r="H24" s="49"/>
      <c r="I24" s="10" t="str">
        <f t="shared" si="4"/>
        <v>* group[=].element[+].code = #Prescription.prescriber.contact</v>
      </c>
      <c r="J24" s="10" t="str">
        <f t="shared" si="5"/>
        <v>* group[=].element[=].display = ##34#A.1.3.4 Details for direct contact##34#</v>
      </c>
      <c r="K24" s="10" t="str">
        <f t="shared" si="6"/>
        <v>* group[=].element[=].target.code = #MedicationRequest.requester</v>
      </c>
      <c r="L24" s="10" t="str">
        <f t="shared" si="7"/>
        <v>* group[=].element[=].target.display = ##34###34#</v>
      </c>
      <c r="M24" s="10" t="str">
        <f t="shared" si="8"/>
        <v>* group[=].element[=].target.equivalence = #relatedto</v>
      </c>
      <c r="N24" s="10" t="str">
        <f t="shared" si="3"/>
        <v>* group[=].element[=].target.comment = ##34#Details in the referred Practitioner resource##34#</v>
      </c>
      <c r="P24" s="7">
        <v>10</v>
      </c>
      <c r="Q24" s="7">
        <f t="shared" si="9"/>
        <v>1</v>
      </c>
      <c r="R24" s="7">
        <f t="shared" si="11"/>
        <v>4</v>
      </c>
      <c r="S24" s="10" t="str" cm="1">
        <f t="array" ref="S24">INDEX('eP-ConceptMap'!$I$15:$N$272,Q24+1,R24)</f>
        <v>* group[=].element[=].target.display = ##34###34#</v>
      </c>
    </row>
    <row r="25" spans="1:19" ht="59" x14ac:dyDescent="0.75">
      <c r="A25" s="17"/>
      <c r="B25" s="7" t="str">
        <f>eP!B17</f>
        <v>prescriber.workAddress</v>
      </c>
      <c r="C25" s="7" t="str">
        <f>eP!C17</f>
        <v>A.1.3.5 Work address</v>
      </c>
      <c r="D25" s="7" t="s">
        <v>497</v>
      </c>
      <c r="E25" s="10"/>
      <c r="F25" s="48" t="s">
        <v>302</v>
      </c>
      <c r="G25" s="48" t="s">
        <v>638</v>
      </c>
      <c r="H25" s="49"/>
      <c r="I25" s="10" t="str">
        <f t="shared" si="4"/>
        <v>* group[=].element[+].code = #Prescription.prescriber.workAddress</v>
      </c>
      <c r="J25" s="10" t="str">
        <f t="shared" si="5"/>
        <v>* group[=].element[=].display = ##34#A.1.3.5 Work address##34#</v>
      </c>
      <c r="K25" s="10" t="str">
        <f t="shared" si="6"/>
        <v>* group[=].element[=].target.code = #MedicationRequest.requester</v>
      </c>
      <c r="L25" s="10" t="str">
        <f t="shared" si="7"/>
        <v>* group[=].element[=].target.display = ##34###34#</v>
      </c>
      <c r="M25" s="10" t="str">
        <f t="shared" si="8"/>
        <v>* group[=].element[=].target.equivalence = #relatedto</v>
      </c>
      <c r="N25" s="10" t="str">
        <f t="shared" si="3"/>
        <v>* group[=].element[=].target.comment = ##34#Details in the referred Practitioner resource##34#</v>
      </c>
      <c r="P25" s="7">
        <v>11</v>
      </c>
      <c r="Q25" s="7">
        <f t="shared" si="9"/>
        <v>1</v>
      </c>
      <c r="R25" s="7">
        <f t="shared" si="11"/>
        <v>5</v>
      </c>
      <c r="S25" s="10" t="str" cm="1">
        <f t="array" ref="S25">INDEX('eP-ConceptMap'!$I$15:$N$272,Q25+1,R25)</f>
        <v>* group[=].element[=].target.equivalence = #relatedto</v>
      </c>
    </row>
    <row r="26" spans="1:19" ht="59" x14ac:dyDescent="0.75">
      <c r="B26" s="7" t="str">
        <f>eP!B18</f>
        <v>prescriber.signature</v>
      </c>
      <c r="C26" s="7" t="str">
        <f>eP!C18</f>
        <v>A.1.3.6 Signature</v>
      </c>
      <c r="D26" s="7" t="s">
        <v>497</v>
      </c>
      <c r="E26" s="10"/>
      <c r="F26" s="48" t="s">
        <v>302</v>
      </c>
      <c r="G26" s="65" t="s">
        <v>511</v>
      </c>
      <c r="H26" s="49"/>
      <c r="I26" s="10" t="str">
        <f t="shared" si="4"/>
        <v>* group[=].element[+].code = #Prescription.prescriber.signature</v>
      </c>
      <c r="J26" s="10" t="str">
        <f t="shared" si="5"/>
        <v>* group[=].element[=].display = ##34#A.1.3.6 Signature##34#</v>
      </c>
      <c r="K26" s="10" t="str">
        <f t="shared" si="6"/>
        <v>* group[=].element[=].target.code = #MedicationRequest.requester</v>
      </c>
      <c r="L26" s="10" t="str">
        <f t="shared" si="7"/>
        <v>* group[=].element[=].target.display = ##34###34#</v>
      </c>
      <c r="M26" s="10" t="str">
        <f t="shared" si="8"/>
        <v>* group[=].element[=].target.equivalence = #relatedto</v>
      </c>
      <c r="N26" s="10" t="str">
        <f t="shared" si="3"/>
        <v>* group[=].element[=].target.comment = ##34#Not implemented in the current eP / eD service##34#</v>
      </c>
      <c r="P26" s="7">
        <v>12</v>
      </c>
      <c r="Q26" s="7">
        <f t="shared" si="9"/>
        <v>1</v>
      </c>
      <c r="R26" s="7">
        <f t="shared" si="11"/>
        <v>6</v>
      </c>
      <c r="S26" s="10" t="str" cm="1">
        <f t="array" ref="S26">INDEX('eP-ConceptMap'!$I$15:$N$272,Q26+1,R26)</f>
        <v/>
      </c>
    </row>
    <row r="27" spans="1:19" ht="59" x14ac:dyDescent="0.75">
      <c r="B27" s="7" t="str">
        <f>eP!B19</f>
        <v>prescriber.identifier</v>
      </c>
      <c r="C27" s="7" t="str">
        <f>eP!C19</f>
        <v>A.1.3.7  Health care provider identifier</v>
      </c>
      <c r="D27" s="7" t="s">
        <v>497</v>
      </c>
      <c r="E27" s="10"/>
      <c r="F27" s="48" t="s">
        <v>302</v>
      </c>
      <c r="G27" s="48" t="s">
        <v>638</v>
      </c>
      <c r="H27" s="49"/>
      <c r="I27" s="10" t="str">
        <f t="shared" si="4"/>
        <v>* group[=].element[+].code = #Prescription.prescriber.identifier</v>
      </c>
      <c r="J27" s="10" t="str">
        <f t="shared" si="5"/>
        <v>* group[=].element[=].display = ##34#A.1.3.7  Health care provider identifier##34#</v>
      </c>
      <c r="K27" s="10" t="str">
        <f t="shared" si="6"/>
        <v>* group[=].element[=].target.code = #MedicationRequest.requester</v>
      </c>
      <c r="L27" s="10" t="str">
        <f t="shared" si="7"/>
        <v>* group[=].element[=].target.display = ##34###34#</v>
      </c>
      <c r="M27" s="10" t="str">
        <f t="shared" si="8"/>
        <v>* group[=].element[=].target.equivalence = #relatedto</v>
      </c>
      <c r="N27" s="10" t="str">
        <f t="shared" si="3"/>
        <v>* group[=].element[=].target.comment = ##34#Details in the referred Practitioner resource##34#</v>
      </c>
      <c r="P27" s="7">
        <v>13</v>
      </c>
      <c r="Q27" s="7">
        <f t="shared" si="9"/>
        <v>2</v>
      </c>
      <c r="R27" s="7">
        <f t="shared" ref="R27:R39" si="12">IF(MOD(P27,$Q$8)=0,$Q$8,MOD(P27,$Q$8))</f>
        <v>1</v>
      </c>
      <c r="S27" s="10" t="str" cm="1">
        <f t="array" ref="S27">INDEX('eP-ConceptMap'!$I$15:$N$272,Q27+1,R27)</f>
        <v>* group[=].element[+].code = #Prescription.authentication.identifier</v>
      </c>
    </row>
    <row r="28" spans="1:19" ht="73.75" x14ac:dyDescent="0.75">
      <c r="B28" s="7" t="str">
        <f>eP!B20</f>
        <v>product</v>
      </c>
      <c r="C28" s="7" t="str">
        <f>eP!C20</f>
        <v>A1.4 Identification of the prescribed product</v>
      </c>
      <c r="D28" s="10" t="s">
        <v>499</v>
      </c>
      <c r="E28" s="10"/>
      <c r="F28" s="48" t="s">
        <v>301</v>
      </c>
      <c r="G28" s="56"/>
      <c r="H28" s="49"/>
      <c r="I28" s="10" t="str">
        <f t="shared" si="4"/>
        <v>* group[=].element[+].code = #Prescription.product</v>
      </c>
      <c r="J28" s="10" t="str">
        <f t="shared" si="5"/>
        <v>* group[=].element[=].display = ##34#A1.4 Identification of the prescribed product##34#</v>
      </c>
      <c r="K28" s="10" t="str">
        <f t="shared" si="6"/>
        <v>* group[=].element[=].target.code = #MedicationRequest.medicationReference</v>
      </c>
      <c r="L28" s="10" t="str">
        <f t="shared" si="7"/>
        <v>* group[=].element[=].target.display = ##34###34#</v>
      </c>
      <c r="M28" s="10" t="str">
        <f t="shared" si="8"/>
        <v>* group[=].element[=].target.equivalence = #equivalent</v>
      </c>
      <c r="N28" s="10" t="str">
        <f t="shared" si="3"/>
        <v/>
      </c>
      <c r="P28" s="7">
        <v>14</v>
      </c>
      <c r="Q28" s="7">
        <f t="shared" si="9"/>
        <v>2</v>
      </c>
      <c r="R28" s="7">
        <f t="shared" si="12"/>
        <v>2</v>
      </c>
      <c r="S28" s="10" t="str" cm="1">
        <f t="array" ref="S28">INDEX('eP-ConceptMap'!$I$15:$N$272,Q28+1,R28)</f>
        <v>* group[=].element[=].display = ##34#A.1.2.1 Identifier of the Prescription##34#</v>
      </c>
    </row>
    <row r="29" spans="1:19" ht="44.25" x14ac:dyDescent="0.75">
      <c r="B29" s="7" t="str">
        <f>eP!B21</f>
        <v>details</v>
      </c>
      <c r="C29" s="7" t="str">
        <f>eP!C21</f>
        <v>A.1.5 Prescription information</v>
      </c>
      <c r="D29" s="10"/>
      <c r="E29" s="10"/>
      <c r="F29" s="48" t="s">
        <v>302</v>
      </c>
      <c r="G29" s="48"/>
      <c r="H29" s="49"/>
      <c r="I29" s="10" t="str">
        <f t="shared" ref="I29:I42" si="13">"* group[=].element[+].code = #"&amp;$B$14&amp;"."&amp;B29</f>
        <v>* group[=].element[+].code = #Prescription.details</v>
      </c>
      <c r="J29" s="10" t="str">
        <f t="shared" ref="J29:J42" si="14">"* group[=].element[=].display = ##34#"&amp;C29&amp;"##34#"</f>
        <v>* group[=].element[=].display = ##34#A.1.5 Prescription information##34#</v>
      </c>
      <c r="K29" s="10" t="str">
        <f t="shared" ref="K29:K42" si="15">IF(F29="unmatched","//-- unmatched",IF(D29="","* group[=].element[=].target.code = #"&amp;$D$14,"* group[=].element[=].target.code = #"&amp;$D$14&amp;"."&amp;D29))</f>
        <v>* group[=].element[=].target.code = #MedicationRequest</v>
      </c>
      <c r="L29" s="10" t="str">
        <f t="shared" ref="L29:L42" si="16">IF(F29="unmatched","//-- unmatched","* group[=].element[=].target.display = ##34#"&amp;E29&amp;"##34#")</f>
        <v>* group[=].element[=].target.display = ##34###34#</v>
      </c>
      <c r="M29" s="10" t="str">
        <f t="shared" ref="M29:M42" si="17">"* group[=].element[=].target.equivalence = #"&amp;F29</f>
        <v>* group[=].element[=].target.equivalence = #relatedto</v>
      </c>
      <c r="N29" s="10" t="str">
        <f t="shared" ref="N29:N42" si="18">IF(G29&lt;&gt;"",CONCATENATE("* group[=].element[=].target.comment = ","##34#",G29,"##34#"),"")</f>
        <v/>
      </c>
      <c r="P29" s="7">
        <v>15</v>
      </c>
      <c r="Q29" s="7">
        <f t="shared" si="9"/>
        <v>2</v>
      </c>
      <c r="R29" s="7">
        <f t="shared" si="12"/>
        <v>3</v>
      </c>
      <c r="S29" s="10" t="str" cm="1">
        <f t="array" ref="S29">INDEX('eP-ConceptMap'!$I$15:$N$272,Q29+1,R29)</f>
        <v>* group[=].element[=].target.code = #MedicationRequest.identifier</v>
      </c>
    </row>
    <row r="30" spans="1:19" ht="73.75" x14ac:dyDescent="0.75">
      <c r="B30" s="7" t="str">
        <f>eP!B22</f>
        <v>details.quantity</v>
      </c>
      <c r="C30" s="7" t="str">
        <f>eP!C22</f>
        <v>A.1.5.2 Quantity of prescribed product</v>
      </c>
      <c r="D30" s="10" t="s">
        <v>500</v>
      </c>
      <c r="E30" s="10"/>
      <c r="F30" s="48" t="s">
        <v>302</v>
      </c>
      <c r="G30" s="48"/>
      <c r="H30" s="49"/>
      <c r="I30" s="10" t="str">
        <f t="shared" si="13"/>
        <v>* group[=].element[+].code = #Prescription.details.quantity</v>
      </c>
      <c r="J30" s="10" t="str">
        <f t="shared" si="14"/>
        <v>* group[=].element[=].display = ##34#A.1.5.2 Quantity of prescribed product##34#</v>
      </c>
      <c r="K30" s="10" t="str">
        <f t="shared" si="15"/>
        <v>* group[=].element[=].target.code = #MedicationRequest.dispenseRequest.quantity</v>
      </c>
      <c r="L30" s="10" t="str">
        <f t="shared" si="16"/>
        <v>* group[=].element[=].target.display = ##34###34#</v>
      </c>
      <c r="M30" s="10" t="str">
        <f t="shared" si="17"/>
        <v>* group[=].element[=].target.equivalence = #relatedto</v>
      </c>
      <c r="N30" s="10" t="str">
        <f t="shared" si="18"/>
        <v/>
      </c>
      <c r="P30" s="7">
        <v>16</v>
      </c>
      <c r="Q30" s="7">
        <f t="shared" si="9"/>
        <v>2</v>
      </c>
      <c r="R30" s="7">
        <f t="shared" si="12"/>
        <v>4</v>
      </c>
      <c r="S30" s="10" t="str" cm="1">
        <f t="array" ref="S30">INDEX('eP-ConceptMap'!$I$15:$N$272,Q30+1,R30)</f>
        <v>* group[=].element[=].target.display = ##34###34#</v>
      </c>
    </row>
    <row r="31" spans="1:19" ht="73.75" x14ac:dyDescent="0.75">
      <c r="B31" s="7" t="str">
        <f>eP!B23</f>
        <v>details.doseRegimen</v>
      </c>
      <c r="C31" s="7" t="str">
        <f>eP!C23</f>
        <v>A.1.5.3 Dose regimen</v>
      </c>
      <c r="D31" s="10" t="s">
        <v>501</v>
      </c>
      <c r="E31" s="10"/>
      <c r="F31" s="48" t="s">
        <v>301</v>
      </c>
      <c r="G31" s="48"/>
      <c r="H31" s="49"/>
      <c r="I31" s="10" t="str">
        <f t="shared" si="13"/>
        <v>* group[=].element[+].code = #Prescription.details.doseRegimen</v>
      </c>
      <c r="J31" s="10" t="str">
        <f t="shared" si="14"/>
        <v>* group[=].element[=].display = ##34#A.1.5.3 Dose regimen##34#</v>
      </c>
      <c r="K31" s="10" t="str">
        <f t="shared" si="15"/>
        <v>* group[=].element[=].target.code = #MedicationRequest.dosageInstruction</v>
      </c>
      <c r="L31" s="10" t="str">
        <f t="shared" si="16"/>
        <v>* group[=].element[=].target.display = ##34###34#</v>
      </c>
      <c r="M31" s="10" t="str">
        <f t="shared" si="17"/>
        <v>* group[=].element[=].target.equivalence = #equivalent</v>
      </c>
      <c r="N31" s="10" t="str">
        <f t="shared" si="18"/>
        <v/>
      </c>
      <c r="P31" s="7">
        <v>17</v>
      </c>
      <c r="Q31" s="7">
        <f t="shared" si="9"/>
        <v>2</v>
      </c>
      <c r="R31" s="7">
        <f t="shared" si="12"/>
        <v>5</v>
      </c>
      <c r="S31" s="10" t="str" cm="1">
        <f t="array" ref="S31">INDEX('eP-ConceptMap'!$I$15:$N$272,Q31+1,R31)</f>
        <v>* group[=].element[=].target.equivalence = #equivalent</v>
      </c>
    </row>
    <row r="32" spans="1:19" ht="88.5" x14ac:dyDescent="0.75">
      <c r="B32" s="7" t="str">
        <f>eP!B24</f>
        <v>details.doseRegimen.numOfIntakes</v>
      </c>
      <c r="C32" s="7" t="str">
        <f>eP!C24</f>
        <v>A.1.5.3.1 Number of units per intake</v>
      </c>
      <c r="D32" s="10" t="s">
        <v>502</v>
      </c>
      <c r="E32" s="10"/>
      <c r="F32" s="48" t="s">
        <v>301</v>
      </c>
      <c r="G32" s="48"/>
      <c r="H32" s="49"/>
      <c r="I32" s="10" t="str">
        <f t="shared" si="13"/>
        <v>* group[=].element[+].code = #Prescription.details.doseRegimen.numOfIntakes</v>
      </c>
      <c r="J32" s="10" t="str">
        <f t="shared" si="14"/>
        <v>* group[=].element[=].display = ##34#A.1.5.3.1 Number of units per intake##34#</v>
      </c>
      <c r="K32" s="10" t="str">
        <f t="shared" si="15"/>
        <v>* group[=].element[=].target.code = #MedicationRequest.dosageInstruction.doseAndRate.doseQuantity</v>
      </c>
      <c r="L32" s="10" t="str">
        <f t="shared" si="16"/>
        <v>* group[=].element[=].target.display = ##34###34#</v>
      </c>
      <c r="M32" s="10" t="str">
        <f t="shared" si="17"/>
        <v>* group[=].element[=].target.equivalence = #equivalent</v>
      </c>
      <c r="N32" s="10" t="str">
        <f t="shared" si="18"/>
        <v/>
      </c>
      <c r="P32" s="7">
        <v>18</v>
      </c>
      <c r="Q32" s="7">
        <f t="shared" si="9"/>
        <v>2</v>
      </c>
      <c r="R32" s="7">
        <f t="shared" si="12"/>
        <v>6</v>
      </c>
      <c r="S32" s="10" t="str" cm="1">
        <f t="array" ref="S32">INDEX('eP-ConceptMap'!$I$15:$N$272,Q32+1,R32)</f>
        <v>* group[=].element[=].target.comment = ##34#if a prescription includes only one prescribed item##34#</v>
      </c>
    </row>
    <row r="33" spans="1:19" ht="103.25" x14ac:dyDescent="0.75">
      <c r="B33" s="7" t="str">
        <f>eP!B25</f>
        <v>details.doseRegimen.frequencyOfIntakes</v>
      </c>
      <c r="C33" s="7" t="str">
        <f>eP!C25</f>
        <v>A.1.5.3.2 Frequency of intakes</v>
      </c>
      <c r="D33" s="10" t="s">
        <v>503</v>
      </c>
      <c r="E33" s="10"/>
      <c r="F33" s="48" t="s">
        <v>302</v>
      </c>
      <c r="G33" s="55" t="s">
        <v>516</v>
      </c>
      <c r="H33" s="49"/>
      <c r="I33" s="10" t="str">
        <f t="shared" si="13"/>
        <v>* group[=].element[+].code = #Prescription.details.doseRegimen.frequencyOfIntakes</v>
      </c>
      <c r="J33" s="10" t="str">
        <f t="shared" si="14"/>
        <v>* group[=].element[=].display = ##34#A.1.5.3.2 Frequency of intakes##34#</v>
      </c>
      <c r="K33" s="10" t="str">
        <f t="shared" si="15"/>
        <v>* group[=].element[=].target.code = #MedicationRequest.dosageInstruction.timing</v>
      </c>
      <c r="L33" s="10" t="str">
        <f t="shared" si="16"/>
        <v>* group[=].element[=].target.display = ##34###34#</v>
      </c>
      <c r="M33" s="10" t="str">
        <f t="shared" si="17"/>
        <v>* group[=].element[=].target.equivalence = #relatedto</v>
      </c>
      <c r="N33" s="10" t="str">
        <f t="shared" si="18"/>
        <v>* group[=].element[=].target.comment = ##34#A combination of frequency, period and periodUnit.
'3 times per day', 3 would be the frequency and '1 day' would be the period/periodUnit.##34#</v>
      </c>
      <c r="P33" s="7">
        <v>19</v>
      </c>
      <c r="Q33" s="7">
        <f t="shared" si="9"/>
        <v>3</v>
      </c>
      <c r="R33" s="7">
        <f t="shared" si="12"/>
        <v>1</v>
      </c>
      <c r="S33" s="10" t="str" cm="1">
        <f t="array" ref="S33">INDEX('eP-ConceptMap'!$I$15:$N$272,Q33+1,R33)</f>
        <v>* group[=].element[+].code = #Prescription.authentication.identifier</v>
      </c>
    </row>
    <row r="34" spans="1:19" ht="73.75" x14ac:dyDescent="0.75">
      <c r="B34" s="7" t="str">
        <f>eP!B26</f>
        <v>details.route</v>
      </c>
      <c r="C34" s="7" t="str">
        <f>eP!C26</f>
        <v>A.1.5.4 Route of administration</v>
      </c>
      <c r="D34" s="10" t="s">
        <v>504</v>
      </c>
      <c r="E34" s="10"/>
      <c r="F34" s="48" t="s">
        <v>301</v>
      </c>
      <c r="G34" s="48"/>
      <c r="H34" s="49"/>
      <c r="I34" s="10" t="str">
        <f t="shared" si="13"/>
        <v>* group[=].element[+].code = #Prescription.details.route</v>
      </c>
      <c r="J34" s="10" t="str">
        <f t="shared" si="14"/>
        <v>* group[=].element[=].display = ##34#A.1.5.4 Route of administration##34#</v>
      </c>
      <c r="K34" s="10" t="str">
        <f t="shared" si="15"/>
        <v>* group[=].element[=].target.code = #MedicationRequest.dosageInstruction.route</v>
      </c>
      <c r="L34" s="10" t="str">
        <f t="shared" si="16"/>
        <v>* group[=].element[=].target.display = ##34###34#</v>
      </c>
      <c r="M34" s="10" t="str">
        <f t="shared" si="17"/>
        <v>* group[=].element[=].target.equivalence = #equivalent</v>
      </c>
      <c r="N34" s="10" t="str">
        <f t="shared" si="18"/>
        <v/>
      </c>
      <c r="P34" s="7">
        <v>20</v>
      </c>
      <c r="Q34" s="7">
        <f t="shared" si="9"/>
        <v>3</v>
      </c>
      <c r="R34" s="7">
        <f t="shared" si="12"/>
        <v>2</v>
      </c>
      <c r="S34" s="10" t="str" cm="1">
        <f t="array" ref="S34">INDEX('eP-ConceptMap'!$I$15:$N$272,Q34+1,R34)</f>
        <v>* group[=].element[=].display = ##34#A.1.2.1 Identifier of the Prescription##34#</v>
      </c>
    </row>
    <row r="35" spans="1:19" ht="73.75" x14ac:dyDescent="0.75">
      <c r="B35" s="7" t="str">
        <f>eP!B27</f>
        <v>details.duration</v>
      </c>
      <c r="C35" s="7" t="str">
        <f>eP!C27</f>
        <v>A.1.5.5 Duration of treatment</v>
      </c>
      <c r="D35" s="10" t="s">
        <v>506</v>
      </c>
      <c r="E35" s="10"/>
      <c r="F35" s="48" t="s">
        <v>301</v>
      </c>
      <c r="G35" s="48"/>
      <c r="H35" s="49"/>
      <c r="I35" s="10" t="str">
        <f t="shared" si="13"/>
        <v>* group[=].element[+].code = #Prescription.details.duration</v>
      </c>
      <c r="J35" s="10" t="str">
        <f t="shared" si="14"/>
        <v>* group[=].element[=].display = ##34#A.1.5.5 Duration of treatment##34#</v>
      </c>
      <c r="K35" s="10" t="str">
        <f t="shared" si="15"/>
        <v>* group[=].element[=].target.code = #MedicationRequest.dosageInstruction.timing.repeat.duration</v>
      </c>
      <c r="L35" s="10" t="str">
        <f t="shared" si="16"/>
        <v>* group[=].element[=].target.display = ##34###34#</v>
      </c>
      <c r="M35" s="10" t="str">
        <f t="shared" si="17"/>
        <v>* group[=].element[=].target.equivalence = #equivalent</v>
      </c>
      <c r="N35" s="10" t="str">
        <f t="shared" si="18"/>
        <v/>
      </c>
      <c r="P35" s="7">
        <v>21</v>
      </c>
      <c r="Q35" s="7">
        <f t="shared" si="9"/>
        <v>3</v>
      </c>
      <c r="R35" s="7">
        <f t="shared" si="12"/>
        <v>3</v>
      </c>
      <c r="S35" s="10" t="str" cm="1">
        <f t="array" ref="S35">INDEX('eP-ConceptMap'!$I$15:$N$272,Q35+1,R35)</f>
        <v>* group[=].element[=].target.code = #MedicationRequest.groupIdentifier</v>
      </c>
    </row>
    <row r="36" spans="1:19" ht="73.75" x14ac:dyDescent="0.75">
      <c r="B36" s="7" t="str">
        <f>eP!B28</f>
        <v>details.startDate</v>
      </c>
      <c r="C36" s="7" t="str">
        <f>eP!C28</f>
        <v xml:space="preserve">A.1.5.6 Starting date of therapy </v>
      </c>
      <c r="D36" s="10" t="s">
        <v>505</v>
      </c>
      <c r="E36" s="10"/>
      <c r="F36" s="48" t="s">
        <v>302</v>
      </c>
      <c r="G36" s="48"/>
      <c r="H36" s="49"/>
      <c r="I36" s="10" t="str">
        <f t="shared" si="13"/>
        <v>* group[=].element[+].code = #Prescription.details.startDate</v>
      </c>
      <c r="J36" s="10" t="str">
        <f t="shared" si="14"/>
        <v>* group[=].element[=].display = ##34#A.1.5.6 Starting date of therapy ##34#</v>
      </c>
      <c r="K36" s="10" t="str">
        <f t="shared" si="15"/>
        <v>* group[=].element[=].target.code = #MedicationRequest.dosageInstruction.timing.duration</v>
      </c>
      <c r="L36" s="10" t="str">
        <f t="shared" si="16"/>
        <v>* group[=].element[=].target.display = ##34###34#</v>
      </c>
      <c r="M36" s="10" t="str">
        <f t="shared" si="17"/>
        <v>* group[=].element[=].target.equivalence = #relatedto</v>
      </c>
      <c r="N36" s="10" t="str">
        <f t="shared" si="18"/>
        <v/>
      </c>
      <c r="P36" s="7">
        <v>22</v>
      </c>
      <c r="Q36" s="7">
        <f t="shared" si="9"/>
        <v>3</v>
      </c>
      <c r="R36" s="7">
        <f t="shared" si="12"/>
        <v>4</v>
      </c>
      <c r="S36" s="10" t="str" cm="1">
        <f t="array" ref="S36">INDEX('eP-ConceptMap'!$I$15:$N$272,Q36+1,R36)</f>
        <v>* group[=].element[=].target.display = ##34###34#</v>
      </c>
    </row>
    <row r="37" spans="1:19" ht="73.75" x14ac:dyDescent="0.75">
      <c r="B37" s="7" t="str">
        <f>eP!B29</f>
        <v>details.directionsOfUse</v>
      </c>
      <c r="C37" s="7" t="str">
        <f>eP!C29</f>
        <v>A.1.5.7 Directions for use</v>
      </c>
      <c r="D37" s="10" t="s">
        <v>501</v>
      </c>
      <c r="E37" s="10"/>
      <c r="F37" s="48" t="s">
        <v>302</v>
      </c>
      <c r="G37" s="48"/>
      <c r="H37" s="49"/>
      <c r="I37" s="10" t="str">
        <f t="shared" si="13"/>
        <v>* group[=].element[+].code = #Prescription.details.directionsOfUse</v>
      </c>
      <c r="J37" s="10" t="str">
        <f t="shared" si="14"/>
        <v>* group[=].element[=].display = ##34#A.1.5.7 Directions for use##34#</v>
      </c>
      <c r="K37" s="10" t="str">
        <f t="shared" si="15"/>
        <v>* group[=].element[=].target.code = #MedicationRequest.dosageInstruction</v>
      </c>
      <c r="L37" s="10" t="str">
        <f t="shared" si="16"/>
        <v>* group[=].element[=].target.display = ##34###34#</v>
      </c>
      <c r="M37" s="10" t="str">
        <f t="shared" si="17"/>
        <v>* group[=].element[=].target.equivalence = #relatedto</v>
      </c>
      <c r="N37" s="10" t="str">
        <f t="shared" si="18"/>
        <v/>
      </c>
      <c r="P37" s="7">
        <v>23</v>
      </c>
      <c r="Q37" s="7">
        <f t="shared" si="9"/>
        <v>3</v>
      </c>
      <c r="R37" s="7">
        <f t="shared" si="12"/>
        <v>5</v>
      </c>
      <c r="S37" s="10" t="str" cm="1">
        <f t="array" ref="S37">INDEX('eP-ConceptMap'!$I$15:$N$272,Q37+1,R37)</f>
        <v>* group[=].element[=].target.equivalence = #equivalent</v>
      </c>
    </row>
    <row r="38" spans="1:19" s="1" customFormat="1" ht="73.75" x14ac:dyDescent="0.75">
      <c r="A38"/>
      <c r="B38" s="7" t="str">
        <f>eP!B30</f>
        <v>details.expiryDate</v>
      </c>
      <c r="C38" s="7" t="str">
        <f>eP!C30</f>
        <v>A.1.5.8 Prescription expiry date</v>
      </c>
      <c r="D38" s="10" t="s">
        <v>507</v>
      </c>
      <c r="E38" s="10"/>
      <c r="F38" s="48" t="s">
        <v>301</v>
      </c>
      <c r="G38" s="48"/>
      <c r="H38" s="49"/>
      <c r="I38" s="10" t="str">
        <f t="shared" si="13"/>
        <v>* group[=].element[+].code = #Prescription.details.expiryDate</v>
      </c>
      <c r="J38" s="10" t="str">
        <f t="shared" si="14"/>
        <v>* group[=].element[=].display = ##34#A.1.5.8 Prescription expiry date##34#</v>
      </c>
      <c r="K38" s="10" t="str">
        <f t="shared" si="15"/>
        <v>* group[=].element[=].target.code = #MedicationRequest.dispenseRequest.validityPeriod</v>
      </c>
      <c r="L38" s="10" t="str">
        <f t="shared" si="16"/>
        <v>* group[=].element[=].target.display = ##34###34#</v>
      </c>
      <c r="M38" s="10" t="str">
        <f t="shared" si="17"/>
        <v>* group[=].element[=].target.equivalence = #equivalent</v>
      </c>
      <c r="N38" s="10" t="str">
        <f t="shared" si="18"/>
        <v/>
      </c>
      <c r="P38" s="7">
        <v>24</v>
      </c>
      <c r="Q38" s="7">
        <f t="shared" si="9"/>
        <v>3</v>
      </c>
      <c r="R38" s="7">
        <f t="shared" si="12"/>
        <v>6</v>
      </c>
      <c r="S38" s="10" t="str" cm="1">
        <f t="array" ref="S38">INDEX('eP-ConceptMap'!$I$15:$N$272,Q38+1,R38)</f>
        <v>* group[=].element[=].target.comment = ##34#if a prescription includes more then one prescribed item##34#</v>
      </c>
    </row>
    <row r="39" spans="1:19" s="1" customFormat="1" ht="59" x14ac:dyDescent="0.75">
      <c r="A39"/>
      <c r="B39" s="7" t="str">
        <f>eP!B31</f>
        <v>details.repeats</v>
      </c>
      <c r="C39" s="7" t="str">
        <f>eP!C31</f>
        <v>A.1.5.9 Repeats</v>
      </c>
      <c r="D39" s="10"/>
      <c r="E39" s="10"/>
      <c r="F39" s="48" t="s">
        <v>302</v>
      </c>
      <c r="G39" s="65" t="s">
        <v>498</v>
      </c>
      <c r="H39" s="49"/>
      <c r="I39" s="10" t="str">
        <f t="shared" si="13"/>
        <v>* group[=].element[+].code = #Prescription.details.repeats</v>
      </c>
      <c r="J39" s="10" t="str">
        <f t="shared" si="14"/>
        <v>* group[=].element[=].display = ##34#A.1.5.9 Repeats##34#</v>
      </c>
      <c r="K39" s="10" t="str">
        <f t="shared" si="15"/>
        <v>* group[=].element[=].target.code = #MedicationRequest</v>
      </c>
      <c r="L39" s="10" t="str">
        <f t="shared" si="16"/>
        <v>* group[=].element[=].target.display = ##34###34#</v>
      </c>
      <c r="M39" s="10" t="str">
        <f t="shared" si="17"/>
        <v>* group[=].element[=].target.equivalence = #relatedto</v>
      </c>
      <c r="N39" s="10" t="str">
        <f t="shared" si="18"/>
        <v>* group[=].element[=].target.comment = ##34#TO BE DISCUSSED##34#</v>
      </c>
      <c r="P39" s="7">
        <v>25</v>
      </c>
      <c r="Q39" s="7">
        <f t="shared" si="9"/>
        <v>4</v>
      </c>
      <c r="R39" s="7">
        <f t="shared" si="12"/>
        <v>1</v>
      </c>
      <c r="S39" s="10" t="str" cm="1">
        <f t="array" ref="S39">INDEX('eP-ConceptMap'!$I$15:$N$272,Q39+1,R39)</f>
        <v>* group[=].element[+].code = #Prescription.authentication.date</v>
      </c>
    </row>
    <row r="40" spans="1:19" s="1" customFormat="1" ht="73.75" x14ac:dyDescent="0.75">
      <c r="A40"/>
      <c r="B40" s="7" t="str">
        <f>eP!B32</f>
        <v>details.reason</v>
      </c>
      <c r="C40" s="7" t="str">
        <f>eP!C32</f>
        <v>A.1.5.10 Reason for prescription</v>
      </c>
      <c r="D40" s="10" t="s">
        <v>509</v>
      </c>
      <c r="E40" s="10"/>
      <c r="F40" s="48" t="s">
        <v>302</v>
      </c>
      <c r="G40" s="48"/>
      <c r="H40" s="49"/>
      <c r="I40" s="10" t="str">
        <f t="shared" si="13"/>
        <v>* group[=].element[+].code = #Prescription.details.reason</v>
      </c>
      <c r="J40" s="10" t="str">
        <f t="shared" si="14"/>
        <v>* group[=].element[=].display = ##34#A.1.5.10 Reason for prescription##34#</v>
      </c>
      <c r="K40" s="10" t="str">
        <f t="shared" si="15"/>
        <v>* group[=].element[=].target.code = #MedicationRequest.reasonReference</v>
      </c>
      <c r="L40" s="10" t="str">
        <f t="shared" si="16"/>
        <v>* group[=].element[=].target.display = ##34###34#</v>
      </c>
      <c r="M40" s="10" t="str">
        <f t="shared" si="17"/>
        <v>* group[=].element[=].target.equivalence = #relatedto</v>
      </c>
      <c r="N40" s="10" t="str">
        <f t="shared" si="18"/>
        <v/>
      </c>
      <c r="P40" s="7">
        <v>26</v>
      </c>
      <c r="Q40" s="7">
        <f>IF(MOD(P40,$Q$8)=0,P40/$Q$8-1,INT(P40/$Q$8))</f>
        <v>4</v>
      </c>
      <c r="R40" s="7">
        <f>IF(MOD(P40,$Q$8)=0,$Q$8,MOD(P40,$Q$8))</f>
        <v>2</v>
      </c>
      <c r="S40" s="10" t="str" cm="1">
        <f t="array" ref="S40">INDEX('eP-ConceptMap'!$I$15:$N$272,Q40+1,R40)</f>
        <v>* group[=].element[=].display = ##34#A.1.2.2 Issue date##34#</v>
      </c>
    </row>
    <row r="41" spans="1:19" s="1" customFormat="1" ht="59" x14ac:dyDescent="0.75">
      <c r="A41"/>
      <c r="B41" s="7" t="str">
        <f>eP!B32</f>
        <v>details.reason</v>
      </c>
      <c r="C41" s="7" t="str">
        <f>eP!C32</f>
        <v>A.1.5.10 Reason for prescription</v>
      </c>
      <c r="D41" s="10" t="s">
        <v>508</v>
      </c>
      <c r="E41" s="10"/>
      <c r="F41" s="48" t="s">
        <v>301</v>
      </c>
      <c r="G41" s="48"/>
      <c r="H41" s="49"/>
      <c r="I41" s="10" t="str">
        <f t="shared" si="13"/>
        <v>* group[=].element[+].code = #Prescription.details.reason</v>
      </c>
      <c r="J41" s="10" t="str">
        <f t="shared" si="14"/>
        <v>* group[=].element[=].display = ##34#A.1.5.10 Reason for prescription##34#</v>
      </c>
      <c r="K41" s="10" t="str">
        <f t="shared" si="15"/>
        <v>* group[=].element[=].target.code = #MedicationRequest.reasonCode</v>
      </c>
      <c r="L41" s="10" t="str">
        <f t="shared" si="16"/>
        <v>* group[=].element[=].target.display = ##34###34#</v>
      </c>
      <c r="M41" s="10" t="str">
        <f t="shared" si="17"/>
        <v>* group[=].element[=].target.equivalence = #equivalent</v>
      </c>
      <c r="N41" s="10" t="str">
        <f t="shared" si="18"/>
        <v/>
      </c>
      <c r="P41" s="7">
        <v>27</v>
      </c>
      <c r="Q41" s="7">
        <f t="shared" si="9"/>
        <v>4</v>
      </c>
      <c r="R41" s="7">
        <f t="shared" ref="R41:R78" si="19">IF(MOD(P41,$Q$8)=0,$Q$8,MOD(P41,$Q$8))</f>
        <v>3</v>
      </c>
      <c r="S41" s="10" t="str" cm="1">
        <f t="array" ref="S41">INDEX('eP-ConceptMap'!$I$15:$N$272,Q41+1,R41)</f>
        <v>* group[=].element[=].target.code = #MedicationRequest.authoredOn</v>
      </c>
    </row>
    <row r="42" spans="1:19" s="1" customFormat="1" ht="73.75" x14ac:dyDescent="0.75">
      <c r="A42"/>
      <c r="B42" s="7" t="str">
        <f>eP!B33</f>
        <v>details.substitution</v>
      </c>
      <c r="C42" s="7" t="str">
        <f>eP!C33</f>
        <v>A.1.5.11 Substitution</v>
      </c>
      <c r="D42" s="10" t="s">
        <v>510</v>
      </c>
      <c r="E42" s="10"/>
      <c r="F42" s="48" t="s">
        <v>301</v>
      </c>
      <c r="G42" s="48"/>
      <c r="H42" s="49"/>
      <c r="I42" s="10" t="str">
        <f t="shared" si="13"/>
        <v>* group[=].element[+].code = #Prescription.details.substitution</v>
      </c>
      <c r="J42" s="10" t="str">
        <f t="shared" si="14"/>
        <v>* group[=].element[=].display = ##34#A.1.5.11 Substitution##34#</v>
      </c>
      <c r="K42" s="10" t="str">
        <f t="shared" si="15"/>
        <v>* group[=].element[=].target.code = #MedicationRequest.substitution.allowedCodeableConcept</v>
      </c>
      <c r="L42" s="10" t="str">
        <f t="shared" si="16"/>
        <v>* group[=].element[=].target.display = ##34###34#</v>
      </c>
      <c r="M42" s="10" t="str">
        <f t="shared" si="17"/>
        <v>* group[=].element[=].target.equivalence = #equivalent</v>
      </c>
      <c r="N42" s="10" t="str">
        <f t="shared" si="18"/>
        <v/>
      </c>
      <c r="P42" s="7">
        <v>28</v>
      </c>
      <c r="Q42" s="7">
        <f t="shared" si="9"/>
        <v>4</v>
      </c>
      <c r="R42" s="7">
        <f t="shared" si="19"/>
        <v>4</v>
      </c>
      <c r="S42" s="10" t="str" cm="1">
        <f t="array" ref="S42">INDEX('eP-ConceptMap'!$I$15:$N$272,Q42+1,R42)</f>
        <v>* group[=].element[=].target.display = ##34###34#</v>
      </c>
    </row>
    <row r="43" spans="1:19" s="1" customFormat="1" x14ac:dyDescent="0.75">
      <c r="A43"/>
      <c r="B43" s="7"/>
      <c r="C43" s="7"/>
      <c r="D43" s="10"/>
      <c r="E43" s="10"/>
      <c r="F43" s="48"/>
      <c r="G43" s="48"/>
      <c r="H43" s="49"/>
      <c r="I43" s="10"/>
      <c r="J43" s="10"/>
      <c r="K43" s="10"/>
      <c r="L43" s="10"/>
      <c r="M43" s="10"/>
      <c r="N43" s="10"/>
      <c r="P43" s="7">
        <v>29</v>
      </c>
      <c r="Q43" s="7">
        <f t="shared" si="9"/>
        <v>4</v>
      </c>
      <c r="R43" s="7">
        <f t="shared" si="19"/>
        <v>5</v>
      </c>
      <c r="S43" s="10" t="str" cm="1">
        <f t="array" ref="S43">INDEX('eP-ConceptMap'!$I$15:$N$272,Q43+1,R43)</f>
        <v>* group[=].element[=].target.equivalence = #equivalent</v>
      </c>
    </row>
    <row r="44" spans="1:19" s="1" customFormat="1" x14ac:dyDescent="0.75">
      <c r="A44"/>
      <c r="B44" s="7"/>
      <c r="C44" s="7"/>
      <c r="D44" s="10"/>
      <c r="E44" s="10"/>
      <c r="F44" s="48"/>
      <c r="G44" s="48"/>
      <c r="H44" s="49"/>
      <c r="I44" s="10"/>
      <c r="J44" s="10"/>
      <c r="K44" s="10"/>
      <c r="L44" s="10"/>
      <c r="M44" s="10"/>
      <c r="N44" s="10"/>
      <c r="P44" s="7">
        <v>30</v>
      </c>
      <c r="Q44" s="7">
        <f t="shared" si="9"/>
        <v>4</v>
      </c>
      <c r="R44" s="7">
        <f t="shared" si="19"/>
        <v>6</v>
      </c>
      <c r="S44" s="10" t="str" cm="1">
        <f t="array" ref="S44">INDEX('eP-ConceptMap'!$I$15:$N$272,Q44+1,R44)</f>
        <v/>
      </c>
    </row>
    <row r="45" spans="1:19" s="1" customFormat="1" x14ac:dyDescent="0.75">
      <c r="A45"/>
      <c r="B45" s="7"/>
      <c r="C45" s="7"/>
      <c r="D45" s="10"/>
      <c r="E45" s="10"/>
      <c r="F45" s="48"/>
      <c r="G45" s="48"/>
      <c r="H45" s="49"/>
      <c r="J45" s="49"/>
      <c r="K45" s="49"/>
      <c r="L45" s="49"/>
      <c r="M45" s="49"/>
      <c r="N45" s="49"/>
      <c r="P45" s="7">
        <v>31</v>
      </c>
      <c r="Q45" s="7">
        <f t="shared" si="9"/>
        <v>5</v>
      </c>
      <c r="R45" s="7">
        <f t="shared" si="19"/>
        <v>1</v>
      </c>
      <c r="S45" s="10" t="str" cm="1">
        <f t="array" ref="S45">INDEX('eP-ConceptMap'!$I$15:$N$272,Q45+1,R45)</f>
        <v>* group[=].element[+].code = #Prescription.prescriber</v>
      </c>
    </row>
    <row r="46" spans="1:19" s="1" customFormat="1" ht="29.5" x14ac:dyDescent="0.75">
      <c r="A46"/>
      <c r="B46" s="7"/>
      <c r="C46" s="7"/>
      <c r="D46" s="10"/>
      <c r="E46" s="10"/>
      <c r="F46" s="48"/>
      <c r="G46" s="48"/>
      <c r="H46" s="49"/>
      <c r="J46" s="49"/>
      <c r="K46" s="49"/>
      <c r="L46" s="49"/>
      <c r="M46" s="49"/>
      <c r="N46" s="49"/>
      <c r="P46" s="7">
        <v>32</v>
      </c>
      <c r="Q46" s="7">
        <f t="shared" si="9"/>
        <v>5</v>
      </c>
      <c r="R46" s="7">
        <f t="shared" si="19"/>
        <v>2</v>
      </c>
      <c r="S46" s="10" t="str" cm="1">
        <f t="array" ref="S46">INDEX('eP-ConceptMap'!$I$15:$N$272,Q46+1,R46)</f>
        <v>* group[=].element[=].display = ##34#A.1.3 Identification of the prescribing health professional##34#</v>
      </c>
    </row>
    <row r="47" spans="1:19" s="1" customFormat="1" x14ac:dyDescent="0.75">
      <c r="A47"/>
      <c r="B47" s="7"/>
      <c r="C47" s="7"/>
      <c r="F47" s="49"/>
      <c r="G47" s="49"/>
      <c r="H47" s="49"/>
      <c r="J47" s="49"/>
      <c r="K47" s="49"/>
      <c r="L47" s="49"/>
      <c r="M47" s="49"/>
      <c r="N47" s="49"/>
      <c r="P47" s="7">
        <v>33</v>
      </c>
      <c r="Q47" s="7">
        <f t="shared" si="9"/>
        <v>5</v>
      </c>
      <c r="R47" s="7">
        <f t="shared" si="19"/>
        <v>3</v>
      </c>
      <c r="S47" s="10" t="str" cm="1">
        <f t="array" ref="S47">INDEX('eP-ConceptMap'!$I$15:$N$272,Q47+1,R47)</f>
        <v>* group[=].element[=].target.code = #MedicationRequest.requester</v>
      </c>
    </row>
    <row r="48" spans="1:19" s="1" customFormat="1" x14ac:dyDescent="0.75">
      <c r="A48"/>
      <c r="B48" s="7"/>
      <c r="C48" s="7"/>
      <c r="F48" s="49"/>
      <c r="G48" s="49"/>
      <c r="H48" s="49"/>
      <c r="J48" s="49"/>
      <c r="K48" s="49"/>
      <c r="L48" s="49"/>
      <c r="M48" s="49"/>
      <c r="N48" s="49"/>
      <c r="P48" s="7">
        <v>34</v>
      </c>
      <c r="Q48" s="7">
        <f t="shared" si="9"/>
        <v>5</v>
      </c>
      <c r="R48" s="7">
        <f t="shared" si="19"/>
        <v>4</v>
      </c>
      <c r="S48" s="10" t="str" cm="1">
        <f t="array" ref="S48">INDEX('eP-ConceptMap'!$I$15:$N$272,Q48+1,R48)</f>
        <v>* group[=].element[=].target.display = ##34###34#</v>
      </c>
    </row>
    <row r="49" spans="1:19" s="1" customFormat="1" x14ac:dyDescent="0.75">
      <c r="A49"/>
      <c r="B49" s="7"/>
      <c r="C49" s="7"/>
      <c r="F49" s="49"/>
      <c r="G49" s="49"/>
      <c r="H49" s="49"/>
      <c r="J49" s="49"/>
      <c r="K49" s="49"/>
      <c r="L49" s="49"/>
      <c r="M49" s="49"/>
      <c r="N49" s="49"/>
      <c r="P49" s="7">
        <v>35</v>
      </c>
      <c r="Q49" s="7">
        <f t="shared" si="9"/>
        <v>5</v>
      </c>
      <c r="R49" s="7">
        <f t="shared" si="19"/>
        <v>5</v>
      </c>
      <c r="S49" s="10" t="str" cm="1">
        <f t="array" ref="S49">INDEX('eP-ConceptMap'!$I$15:$N$272,Q49+1,R49)</f>
        <v>* group[=].element[=].target.equivalence = #equivalent</v>
      </c>
    </row>
    <row r="50" spans="1:19" s="1" customFormat="1" x14ac:dyDescent="0.75">
      <c r="A50"/>
      <c r="B50" s="7"/>
      <c r="C50"/>
      <c r="F50" s="49"/>
      <c r="G50" s="49"/>
      <c r="H50" s="49"/>
      <c r="J50" s="49"/>
      <c r="K50" s="49"/>
      <c r="L50" s="49"/>
      <c r="M50" s="49"/>
      <c r="N50" s="49"/>
      <c r="P50" s="7">
        <v>36</v>
      </c>
      <c r="Q50" s="7">
        <f t="shared" si="9"/>
        <v>5</v>
      </c>
      <c r="R50" s="7">
        <f t="shared" si="19"/>
        <v>6</v>
      </c>
      <c r="S50" s="10" t="str" cm="1">
        <f t="array" ref="S50">INDEX('eP-ConceptMap'!$I$15:$N$272,Q50+1,R50)</f>
        <v/>
      </c>
    </row>
    <row r="51" spans="1:19" x14ac:dyDescent="0.75">
      <c r="F51" s="49"/>
      <c r="G51" s="49"/>
      <c r="H51" s="49"/>
      <c r="J51" s="49"/>
      <c r="K51" s="49"/>
      <c r="L51" s="49"/>
      <c r="M51" s="49"/>
      <c r="N51" s="49"/>
      <c r="P51" s="7">
        <v>37</v>
      </c>
      <c r="Q51" s="7">
        <f t="shared" si="9"/>
        <v>6</v>
      </c>
      <c r="R51" s="7">
        <f t="shared" si="19"/>
        <v>1</v>
      </c>
      <c r="S51" s="10" t="str" cm="1">
        <f t="array" ref="S51">INDEX('eP-ConceptMap'!$I$15:$N$272,Q51+1,R51)</f>
        <v>* group[=].element[+].code = #Prescription.prescriber.familyName</v>
      </c>
    </row>
    <row r="52" spans="1:19" x14ac:dyDescent="0.75">
      <c r="F52" s="49"/>
      <c r="G52" s="49"/>
      <c r="H52" s="49"/>
      <c r="J52" s="49"/>
      <c r="K52" s="49"/>
      <c r="L52" s="49"/>
      <c r="M52" s="49"/>
      <c r="N52" s="49"/>
      <c r="P52" s="7">
        <v>38</v>
      </c>
      <c r="Q52" s="7">
        <f t="shared" si="9"/>
        <v>6</v>
      </c>
      <c r="R52" s="7">
        <f t="shared" si="19"/>
        <v>2</v>
      </c>
      <c r="S52" s="10" t="str" cm="1">
        <f t="array" ref="S52">INDEX('eP-ConceptMap'!$I$15:$N$272,Q52+1,R52)</f>
        <v>* group[=].element[=].display = ##34#A.1.3.1 Familyname##34#</v>
      </c>
    </row>
    <row r="53" spans="1:19" x14ac:dyDescent="0.75">
      <c r="F53" s="49"/>
      <c r="G53" s="49"/>
      <c r="H53" s="49"/>
      <c r="J53" s="49"/>
      <c r="K53" s="49"/>
      <c r="L53" s="49"/>
      <c r="M53" s="49"/>
      <c r="N53" s="49"/>
      <c r="P53" s="7">
        <v>39</v>
      </c>
      <c r="Q53" s="7">
        <f t="shared" si="9"/>
        <v>6</v>
      </c>
      <c r="R53" s="7">
        <f t="shared" si="19"/>
        <v>3</v>
      </c>
      <c r="S53" s="10" t="str" cm="1">
        <f t="array" ref="S53">INDEX('eP-ConceptMap'!$I$15:$N$272,Q53+1,R53)</f>
        <v>* group[=].element[=].target.code = #MedicationRequest.requester</v>
      </c>
    </row>
    <row r="54" spans="1:19" x14ac:dyDescent="0.75">
      <c r="F54" s="49"/>
      <c r="G54" s="49"/>
      <c r="H54" s="49"/>
      <c r="J54" s="49"/>
      <c r="K54" s="49"/>
      <c r="L54" s="49"/>
      <c r="M54" s="49"/>
      <c r="N54" s="49"/>
      <c r="P54" s="7">
        <v>40</v>
      </c>
      <c r="Q54" s="7">
        <f t="shared" si="9"/>
        <v>6</v>
      </c>
      <c r="R54" s="7">
        <f t="shared" si="19"/>
        <v>4</v>
      </c>
      <c r="S54" s="10" t="str" cm="1">
        <f t="array" ref="S54">INDEX('eP-ConceptMap'!$I$15:$N$272,Q54+1,R54)</f>
        <v>* group[=].element[=].target.display = ##34###34#</v>
      </c>
    </row>
    <row r="55" spans="1:19" x14ac:dyDescent="0.75">
      <c r="E55"/>
      <c r="P55" s="7">
        <v>41</v>
      </c>
      <c r="Q55" s="7">
        <f t="shared" si="9"/>
        <v>6</v>
      </c>
      <c r="R55" s="7">
        <f t="shared" si="19"/>
        <v>5</v>
      </c>
      <c r="S55" s="10" t="str" cm="1">
        <f t="array" ref="S55">INDEX('eP-ConceptMap'!$I$15:$N$272,Q55+1,R55)</f>
        <v>* group[=].element[=].target.equivalence = #relatedto</v>
      </c>
    </row>
    <row r="56" spans="1:19" ht="29.5" x14ac:dyDescent="0.75">
      <c r="P56" s="7">
        <v>42</v>
      </c>
      <c r="Q56" s="7">
        <f t="shared" si="9"/>
        <v>6</v>
      </c>
      <c r="R56" s="7">
        <f t="shared" si="19"/>
        <v>6</v>
      </c>
      <c r="S56" s="10" t="str" cm="1">
        <f t="array" ref="S56">INDEX('eP-ConceptMap'!$I$15:$N$272,Q56+1,R56)</f>
        <v>* group[=].element[=].target.comment = ##34#Details in the referred Practitioner resource##34#</v>
      </c>
    </row>
    <row r="57" spans="1:19" x14ac:dyDescent="0.75">
      <c r="P57" s="7">
        <v>43</v>
      </c>
      <c r="Q57" s="7">
        <f t="shared" si="9"/>
        <v>7</v>
      </c>
      <c r="R57" s="7">
        <f t="shared" si="19"/>
        <v>1</v>
      </c>
      <c r="S57" s="10" t="str" cm="1">
        <f t="array" ref="S57">INDEX('eP-ConceptMap'!$I$15:$N$272,Q57+1,R57)</f>
        <v>* group[=].element[+].code = #Prescription.prescriber.givenName</v>
      </c>
    </row>
    <row r="58" spans="1:19" x14ac:dyDescent="0.75">
      <c r="P58" s="7">
        <v>44</v>
      </c>
      <c r="Q58" s="7">
        <f t="shared" si="9"/>
        <v>7</v>
      </c>
      <c r="R58" s="7">
        <f t="shared" si="19"/>
        <v>2</v>
      </c>
      <c r="S58" s="10" t="str" cm="1">
        <f t="array" ref="S58">INDEX('eP-ConceptMap'!$I$15:$N$272,Q58+1,R58)</f>
        <v>* group[=].element[=].display = ##34#A.1.3.2 Given name##34#</v>
      </c>
    </row>
    <row r="59" spans="1:19" x14ac:dyDescent="0.75">
      <c r="P59" s="7">
        <v>45</v>
      </c>
      <c r="Q59" s="7">
        <f t="shared" si="9"/>
        <v>7</v>
      </c>
      <c r="R59" s="7">
        <f t="shared" si="19"/>
        <v>3</v>
      </c>
      <c r="S59" s="10" t="str" cm="1">
        <f t="array" ref="S59">INDEX('eP-ConceptMap'!$I$15:$N$272,Q59+1,R59)</f>
        <v>* group[=].element[=].target.code = #MedicationRequest.requester</v>
      </c>
    </row>
    <row r="60" spans="1:19" x14ac:dyDescent="0.75">
      <c r="P60" s="7">
        <v>46</v>
      </c>
      <c r="Q60" s="7">
        <f t="shared" si="9"/>
        <v>7</v>
      </c>
      <c r="R60" s="7">
        <f t="shared" si="19"/>
        <v>4</v>
      </c>
      <c r="S60" s="10" t="str" cm="1">
        <f t="array" ref="S60">INDEX('eP-ConceptMap'!$I$15:$N$272,Q60+1,R60)</f>
        <v>* group[=].element[=].target.display = ##34###34#</v>
      </c>
    </row>
    <row r="61" spans="1:19" x14ac:dyDescent="0.75">
      <c r="P61" s="7">
        <v>47</v>
      </c>
      <c r="Q61" s="7">
        <f t="shared" si="9"/>
        <v>7</v>
      </c>
      <c r="R61" s="7">
        <f t="shared" si="19"/>
        <v>5</v>
      </c>
      <c r="S61" s="10" t="str" cm="1">
        <f t="array" ref="S61">INDEX('eP-ConceptMap'!$I$15:$N$272,Q61+1,R61)</f>
        <v>* group[=].element[=].target.equivalence = #relatedto</v>
      </c>
    </row>
    <row r="62" spans="1:19" ht="29.5" x14ac:dyDescent="0.75">
      <c r="P62" s="7">
        <v>48</v>
      </c>
      <c r="Q62" s="7">
        <f t="shared" si="9"/>
        <v>7</v>
      </c>
      <c r="R62" s="7">
        <f t="shared" si="19"/>
        <v>6</v>
      </c>
      <c r="S62" s="10" t="str" cm="1">
        <f t="array" ref="S62">INDEX('eP-ConceptMap'!$I$15:$N$272,Q62+1,R62)</f>
        <v>* group[=].element[=].target.comment = ##34#Details in the referred Practitioner resource##34#</v>
      </c>
    </row>
    <row r="63" spans="1:19" x14ac:dyDescent="0.75">
      <c r="P63" s="7">
        <v>49</v>
      </c>
      <c r="Q63" s="7">
        <f t="shared" si="9"/>
        <v>8</v>
      </c>
      <c r="R63" s="7">
        <f t="shared" si="19"/>
        <v>1</v>
      </c>
      <c r="S63" s="10" t="str" cm="1">
        <f t="array" ref="S63">INDEX('eP-ConceptMap'!$I$15:$N$272,Q63+1,R63)</f>
        <v>* group[=].element[+].code = #Prescription.prescriber.qualification</v>
      </c>
    </row>
    <row r="64" spans="1:19" x14ac:dyDescent="0.75">
      <c r="P64" s="7">
        <v>50</v>
      </c>
      <c r="Q64" s="7">
        <f t="shared" si="9"/>
        <v>8</v>
      </c>
      <c r="R64" s="7">
        <f t="shared" si="19"/>
        <v>2</v>
      </c>
      <c r="S64" s="10" t="str" cm="1">
        <f t="array" ref="S64">INDEX('eP-ConceptMap'!$I$15:$N$272,Q64+1,R64)</f>
        <v>* group[=].element[=].display = ##34#A.1.3.3 Professional qualifications##34#</v>
      </c>
    </row>
    <row r="65" spans="16:19" x14ac:dyDescent="0.75">
      <c r="P65" s="7">
        <v>51</v>
      </c>
      <c r="Q65" s="7">
        <f t="shared" si="9"/>
        <v>8</v>
      </c>
      <c r="R65" s="7">
        <f t="shared" si="19"/>
        <v>3</v>
      </c>
      <c r="S65" s="10" t="str" cm="1">
        <f t="array" ref="S65">INDEX('eP-ConceptMap'!$I$15:$N$272,Q65+1,R65)</f>
        <v>* group[=].element[=].target.code = #MedicationRequest.requester</v>
      </c>
    </row>
    <row r="66" spans="16:19" x14ac:dyDescent="0.75">
      <c r="P66" s="7">
        <v>52</v>
      </c>
      <c r="Q66" s="7">
        <f t="shared" si="9"/>
        <v>8</v>
      </c>
      <c r="R66" s="7">
        <f t="shared" si="19"/>
        <v>4</v>
      </c>
      <c r="S66" s="10" t="str" cm="1">
        <f t="array" ref="S66">INDEX('eP-ConceptMap'!$I$15:$N$272,Q66+1,R66)</f>
        <v>* group[=].element[=].target.display = ##34###34#</v>
      </c>
    </row>
    <row r="67" spans="16:19" x14ac:dyDescent="0.75">
      <c r="P67" s="7">
        <v>53</v>
      </c>
      <c r="Q67" s="7">
        <f t="shared" si="9"/>
        <v>8</v>
      </c>
      <c r="R67" s="7">
        <f t="shared" si="19"/>
        <v>5</v>
      </c>
      <c r="S67" s="10" t="str" cm="1">
        <f t="array" ref="S67">INDEX('eP-ConceptMap'!$I$15:$N$272,Q67+1,R67)</f>
        <v>* group[=].element[=].target.equivalence = #relatedto</v>
      </c>
    </row>
    <row r="68" spans="16:19" ht="29.5" x14ac:dyDescent="0.75">
      <c r="P68" s="7">
        <v>54</v>
      </c>
      <c r="Q68" s="7">
        <f t="shared" si="9"/>
        <v>8</v>
      </c>
      <c r="R68" s="7">
        <f t="shared" si="19"/>
        <v>6</v>
      </c>
      <c r="S68" s="10" t="str" cm="1">
        <f t="array" ref="S68">INDEX('eP-ConceptMap'!$I$15:$N$272,Q68+1,R68)</f>
        <v>* group[=].element[=].target.comment = ##34#Details in the referred Practitioner resource##34#</v>
      </c>
    </row>
    <row r="69" spans="16:19" x14ac:dyDescent="0.75">
      <c r="P69" s="7">
        <v>55</v>
      </c>
      <c r="Q69" s="7">
        <f t="shared" si="9"/>
        <v>9</v>
      </c>
      <c r="R69" s="7">
        <f t="shared" si="19"/>
        <v>1</v>
      </c>
      <c r="S69" s="10" t="str" cm="1">
        <f t="array" ref="S69">INDEX('eP-ConceptMap'!$I$15:$N$272,Q69+1,R69)</f>
        <v>* group[=].element[+].code = #Prescription.prescriber.contact</v>
      </c>
    </row>
    <row r="70" spans="16:19" x14ac:dyDescent="0.75">
      <c r="P70" s="7">
        <v>56</v>
      </c>
      <c r="Q70" s="7">
        <f t="shared" si="9"/>
        <v>9</v>
      </c>
      <c r="R70" s="7">
        <f t="shared" si="19"/>
        <v>2</v>
      </c>
      <c r="S70" s="10" t="str" cm="1">
        <f t="array" ref="S70">INDEX('eP-ConceptMap'!$I$15:$N$272,Q70+1,R70)</f>
        <v>* group[=].element[=].display = ##34#A.1.3.4 Details for direct contact##34#</v>
      </c>
    </row>
    <row r="71" spans="16:19" x14ac:dyDescent="0.75">
      <c r="P71" s="7">
        <v>57</v>
      </c>
      <c r="Q71" s="7">
        <f t="shared" si="9"/>
        <v>9</v>
      </c>
      <c r="R71" s="7">
        <f t="shared" si="19"/>
        <v>3</v>
      </c>
      <c r="S71" s="10" t="str" cm="1">
        <f t="array" ref="S71">INDEX('eP-ConceptMap'!$I$15:$N$272,Q71+1,R71)</f>
        <v>* group[=].element[=].target.code = #MedicationRequest.requester</v>
      </c>
    </row>
    <row r="72" spans="16:19" x14ac:dyDescent="0.75">
      <c r="P72" s="7">
        <v>58</v>
      </c>
      <c r="Q72" s="7">
        <f t="shared" si="9"/>
        <v>9</v>
      </c>
      <c r="R72" s="7">
        <f t="shared" si="19"/>
        <v>4</v>
      </c>
      <c r="S72" s="10" t="str" cm="1">
        <f t="array" ref="S72">INDEX('eP-ConceptMap'!$I$15:$N$272,Q72+1,R72)</f>
        <v>* group[=].element[=].target.display = ##34###34#</v>
      </c>
    </row>
    <row r="73" spans="16:19" x14ac:dyDescent="0.75">
      <c r="P73" s="7">
        <v>59</v>
      </c>
      <c r="Q73" s="7">
        <f t="shared" si="9"/>
        <v>9</v>
      </c>
      <c r="R73" s="7">
        <f t="shared" si="19"/>
        <v>5</v>
      </c>
      <c r="S73" s="10" t="str" cm="1">
        <f t="array" ref="S73">INDEX('eP-ConceptMap'!$I$15:$N$272,Q73+1,R73)</f>
        <v>* group[=].element[=].target.equivalence = #relatedto</v>
      </c>
    </row>
    <row r="74" spans="16:19" ht="29.5" x14ac:dyDescent="0.75">
      <c r="P74" s="7">
        <v>60</v>
      </c>
      <c r="Q74" s="7">
        <f t="shared" si="9"/>
        <v>9</v>
      </c>
      <c r="R74" s="7">
        <f t="shared" si="19"/>
        <v>6</v>
      </c>
      <c r="S74" s="10" t="str" cm="1">
        <f t="array" ref="S74">INDEX('eP-ConceptMap'!$I$15:$N$272,Q74+1,R74)</f>
        <v>* group[=].element[=].target.comment = ##34#Details in the referred Practitioner resource##34#</v>
      </c>
    </row>
    <row r="75" spans="16:19" x14ac:dyDescent="0.75">
      <c r="P75" s="7">
        <v>61</v>
      </c>
      <c r="Q75" s="7">
        <f t="shared" si="9"/>
        <v>10</v>
      </c>
      <c r="R75" s="7">
        <f t="shared" si="19"/>
        <v>1</v>
      </c>
      <c r="S75" s="10" t="str" cm="1">
        <f t="array" ref="S75">INDEX('eP-ConceptMap'!$I$15:$N$272,Q75+1,R75)</f>
        <v>* group[=].element[+].code = #Prescription.prescriber.workAddress</v>
      </c>
    </row>
    <row r="76" spans="16:19" x14ac:dyDescent="0.75">
      <c r="P76" s="7">
        <v>62</v>
      </c>
      <c r="Q76" s="7">
        <f t="shared" si="9"/>
        <v>10</v>
      </c>
      <c r="R76" s="7">
        <f t="shared" si="19"/>
        <v>2</v>
      </c>
      <c r="S76" s="10" t="str" cm="1">
        <f t="array" ref="S76">INDEX('eP-ConceptMap'!$I$15:$N$272,Q76+1,R76)</f>
        <v>* group[=].element[=].display = ##34#A.1.3.5 Work address##34#</v>
      </c>
    </row>
    <row r="77" spans="16:19" x14ac:dyDescent="0.75">
      <c r="P77" s="7">
        <v>63</v>
      </c>
      <c r="Q77" s="7">
        <f t="shared" si="9"/>
        <v>10</v>
      </c>
      <c r="R77" s="7">
        <f t="shared" si="19"/>
        <v>3</v>
      </c>
      <c r="S77" s="10" t="str" cm="1">
        <f t="array" ref="S77">INDEX('eP-ConceptMap'!$I$15:$N$272,Q77+1,R77)</f>
        <v>* group[=].element[=].target.code = #MedicationRequest.requester</v>
      </c>
    </row>
    <row r="78" spans="16:19" x14ac:dyDescent="0.75">
      <c r="P78" s="7">
        <v>64</v>
      </c>
      <c r="Q78" s="7">
        <f t="shared" si="9"/>
        <v>10</v>
      </c>
      <c r="R78" s="7">
        <f t="shared" si="19"/>
        <v>4</v>
      </c>
      <c r="S78" s="10" t="str" cm="1">
        <f t="array" ref="S78">INDEX('eP-ConceptMap'!$I$15:$N$272,Q78+1,R78)</f>
        <v>* group[=].element[=].target.display = ##34###34#</v>
      </c>
    </row>
    <row r="79" spans="16:19" x14ac:dyDescent="0.75">
      <c r="P79" s="7">
        <v>65</v>
      </c>
      <c r="Q79" s="7">
        <f t="shared" si="9"/>
        <v>10</v>
      </c>
      <c r="R79" s="7">
        <f t="shared" ref="R79:R104" si="20">IF(MOD(P79,$Q$8)=0,$Q$8,MOD(P79,$Q$8))</f>
        <v>5</v>
      </c>
      <c r="S79" s="10" t="str" cm="1">
        <f t="array" ref="S79">INDEX('eP-ConceptMap'!$I$15:$N$272,Q79+1,R79)</f>
        <v>* group[=].element[=].target.equivalence = #relatedto</v>
      </c>
    </row>
    <row r="80" spans="16:19" ht="29.5" x14ac:dyDescent="0.75">
      <c r="P80" s="7">
        <v>66</v>
      </c>
      <c r="Q80" s="7">
        <f t="shared" si="9"/>
        <v>10</v>
      </c>
      <c r="R80" s="7">
        <f t="shared" si="20"/>
        <v>6</v>
      </c>
      <c r="S80" s="10" t="str" cm="1">
        <f t="array" ref="S80">INDEX('eP-ConceptMap'!$I$15:$N$272,Q80+1,R80)</f>
        <v>* group[=].element[=].target.comment = ##34#Details in the referred Practitioner resource##34#</v>
      </c>
    </row>
    <row r="81" spans="16:19" x14ac:dyDescent="0.75">
      <c r="P81" s="7">
        <v>67</v>
      </c>
      <c r="Q81" s="7">
        <f t="shared" si="9"/>
        <v>11</v>
      </c>
      <c r="R81" s="7">
        <f t="shared" si="20"/>
        <v>1</v>
      </c>
      <c r="S81" s="10" t="str" cm="1">
        <f t="array" ref="S81">INDEX('eP-ConceptMap'!$I$15:$N$272,Q81+1,R81)</f>
        <v>* group[=].element[+].code = #Prescription.prescriber.signature</v>
      </c>
    </row>
    <row r="82" spans="16:19" x14ac:dyDescent="0.75">
      <c r="P82" s="7">
        <v>68</v>
      </c>
      <c r="Q82" s="7">
        <f t="shared" si="9"/>
        <v>11</v>
      </c>
      <c r="R82" s="7">
        <f t="shared" si="20"/>
        <v>2</v>
      </c>
      <c r="S82" s="10" t="str" cm="1">
        <f t="array" ref="S82">INDEX('eP-ConceptMap'!$I$15:$N$272,Q82+1,R82)</f>
        <v>* group[=].element[=].display = ##34#A.1.3.6 Signature##34#</v>
      </c>
    </row>
    <row r="83" spans="16:19" x14ac:dyDescent="0.75">
      <c r="P83" s="7">
        <v>69</v>
      </c>
      <c r="Q83" s="7">
        <f t="shared" si="9"/>
        <v>11</v>
      </c>
      <c r="R83" s="7">
        <f t="shared" si="20"/>
        <v>3</v>
      </c>
      <c r="S83" s="10" t="str" cm="1">
        <f t="array" ref="S83">INDEX('eP-ConceptMap'!$I$15:$N$272,Q83+1,R83)</f>
        <v>* group[=].element[=].target.code = #MedicationRequest.requester</v>
      </c>
    </row>
    <row r="84" spans="16:19" x14ac:dyDescent="0.75">
      <c r="P84" s="7">
        <v>70</v>
      </c>
      <c r="Q84" s="7">
        <f t="shared" si="9"/>
        <v>11</v>
      </c>
      <c r="R84" s="7">
        <f t="shared" si="20"/>
        <v>4</v>
      </c>
      <c r="S84" s="10" t="str" cm="1">
        <f t="array" ref="S84">INDEX('eP-ConceptMap'!$I$15:$N$272,Q84+1,R84)</f>
        <v>* group[=].element[=].target.display = ##34###34#</v>
      </c>
    </row>
    <row r="85" spans="16:19" x14ac:dyDescent="0.75">
      <c r="P85" s="7">
        <v>71</v>
      </c>
      <c r="Q85" s="7">
        <f t="shared" si="9"/>
        <v>11</v>
      </c>
      <c r="R85" s="7">
        <f t="shared" si="20"/>
        <v>5</v>
      </c>
      <c r="S85" s="10" t="str" cm="1">
        <f t="array" ref="S85">INDEX('eP-ConceptMap'!$I$15:$N$272,Q85+1,R85)</f>
        <v>* group[=].element[=].target.equivalence = #relatedto</v>
      </c>
    </row>
    <row r="86" spans="16:19" ht="29.5" x14ac:dyDescent="0.75">
      <c r="P86" s="7">
        <v>72</v>
      </c>
      <c r="Q86" s="7">
        <f t="shared" si="9"/>
        <v>11</v>
      </c>
      <c r="R86" s="7">
        <f t="shared" si="20"/>
        <v>6</v>
      </c>
      <c r="S86" s="10" t="str" cm="1">
        <f t="array" ref="S86">INDEX('eP-ConceptMap'!$I$15:$N$272,Q86+1,R86)</f>
        <v>* group[=].element[=].target.comment = ##34#Not implemented in the current eP / eD service##34#</v>
      </c>
    </row>
    <row r="87" spans="16:19" x14ac:dyDescent="0.75">
      <c r="P87" s="7">
        <v>73</v>
      </c>
      <c r="Q87" s="7">
        <f t="shared" si="9"/>
        <v>12</v>
      </c>
      <c r="R87" s="7">
        <f t="shared" si="20"/>
        <v>1</v>
      </c>
      <c r="S87" s="10" t="str" cm="1">
        <f t="array" ref="S87">INDEX('eP-ConceptMap'!$I$15:$N$272,Q87+1,R87)</f>
        <v>* group[=].element[+].code = #Prescription.prescriber.identifier</v>
      </c>
    </row>
    <row r="88" spans="16:19" x14ac:dyDescent="0.75">
      <c r="P88" s="7">
        <v>74</v>
      </c>
      <c r="Q88" s="7">
        <f t="shared" si="9"/>
        <v>12</v>
      </c>
      <c r="R88" s="7">
        <f t="shared" si="20"/>
        <v>2</v>
      </c>
      <c r="S88" s="10" t="str" cm="1">
        <f t="array" ref="S88">INDEX('eP-ConceptMap'!$I$15:$N$272,Q88+1,R88)</f>
        <v>* group[=].element[=].display = ##34#A.1.3.7  Health care provider identifier##34#</v>
      </c>
    </row>
    <row r="89" spans="16:19" x14ac:dyDescent="0.75">
      <c r="P89" s="7">
        <v>75</v>
      </c>
      <c r="Q89" s="7">
        <f t="shared" si="9"/>
        <v>12</v>
      </c>
      <c r="R89" s="7">
        <f t="shared" si="20"/>
        <v>3</v>
      </c>
      <c r="S89" s="10" t="str" cm="1">
        <f t="array" ref="S89">INDEX('eP-ConceptMap'!$I$15:$N$272,Q89+1,R89)</f>
        <v>* group[=].element[=].target.code = #MedicationRequest.requester</v>
      </c>
    </row>
    <row r="90" spans="16:19" x14ac:dyDescent="0.75">
      <c r="P90" s="7">
        <v>76</v>
      </c>
      <c r="Q90" s="7">
        <f t="shared" si="9"/>
        <v>12</v>
      </c>
      <c r="R90" s="7">
        <f t="shared" si="20"/>
        <v>4</v>
      </c>
      <c r="S90" s="10" t="str" cm="1">
        <f t="array" ref="S90">INDEX('eP-ConceptMap'!$I$15:$N$272,Q90+1,R90)</f>
        <v>* group[=].element[=].target.display = ##34###34#</v>
      </c>
    </row>
    <row r="91" spans="16:19" x14ac:dyDescent="0.75">
      <c r="P91" s="7">
        <v>77</v>
      </c>
      <c r="Q91" s="7">
        <f t="shared" ref="Q91" si="21">IF(MOD(P91,$Q$8)=0,P91/$Q$8-1,INT(P91/$Q$8))</f>
        <v>12</v>
      </c>
      <c r="R91" s="7">
        <f t="shared" si="20"/>
        <v>5</v>
      </c>
      <c r="S91" s="10" t="str" cm="1">
        <f t="array" ref="S91">INDEX('eP-ConceptMap'!$I$15:$N$272,Q91+1,R91)</f>
        <v>* group[=].element[=].target.equivalence = #relatedto</v>
      </c>
    </row>
    <row r="92" spans="16:19" ht="29.5" x14ac:dyDescent="0.75">
      <c r="P92" s="7">
        <v>78</v>
      </c>
      <c r="Q92" s="7">
        <f t="shared" si="9"/>
        <v>12</v>
      </c>
      <c r="R92" s="7">
        <f t="shared" si="20"/>
        <v>6</v>
      </c>
      <c r="S92" s="10" t="str" cm="1">
        <f t="array" ref="S92">INDEX('eP-ConceptMap'!$I$15:$N$272,Q92+1,R92)</f>
        <v>* group[=].element[=].target.comment = ##34#Details in the referred Practitioner resource##34#</v>
      </c>
    </row>
    <row r="93" spans="16:19" x14ac:dyDescent="0.75">
      <c r="P93" s="7">
        <v>79</v>
      </c>
      <c r="Q93" s="7">
        <f t="shared" si="9"/>
        <v>13</v>
      </c>
      <c r="R93" s="7">
        <f t="shared" si="20"/>
        <v>1</v>
      </c>
      <c r="S93" s="10" t="str" cm="1">
        <f t="array" ref="S93">INDEX('eP-ConceptMap'!$I$15:$N$272,Q93+1,R93)</f>
        <v>* group[=].element[+].code = #Prescription.product</v>
      </c>
    </row>
    <row r="94" spans="16:19" ht="29.5" x14ac:dyDescent="0.75">
      <c r="P94" s="7">
        <v>80</v>
      </c>
      <c r="Q94" s="7">
        <f t="shared" si="9"/>
        <v>13</v>
      </c>
      <c r="R94" s="7">
        <f t="shared" si="20"/>
        <v>2</v>
      </c>
      <c r="S94" s="10" t="str" cm="1">
        <f t="array" ref="S94">INDEX('eP-ConceptMap'!$I$15:$N$272,Q94+1,R94)</f>
        <v>* group[=].element[=].display = ##34#A1.4 Identification of the prescribed product##34#</v>
      </c>
    </row>
    <row r="95" spans="16:19" x14ac:dyDescent="0.75">
      <c r="P95" s="7">
        <v>81</v>
      </c>
      <c r="Q95" s="7">
        <f t="shared" si="9"/>
        <v>13</v>
      </c>
      <c r="R95" s="7">
        <f t="shared" si="20"/>
        <v>3</v>
      </c>
      <c r="S95" s="10" t="str" cm="1">
        <f t="array" ref="S95">INDEX('eP-ConceptMap'!$I$15:$N$272,Q95+1,R95)</f>
        <v>* group[=].element[=].target.code = #MedicationRequest.medicationReference</v>
      </c>
    </row>
    <row r="96" spans="16:19" x14ac:dyDescent="0.75">
      <c r="P96" s="7">
        <v>82</v>
      </c>
      <c r="Q96" s="7">
        <f t="shared" si="9"/>
        <v>13</v>
      </c>
      <c r="R96" s="7">
        <f t="shared" si="20"/>
        <v>4</v>
      </c>
      <c r="S96" s="10" t="str" cm="1">
        <f t="array" ref="S96">INDEX('eP-ConceptMap'!$I$15:$N$272,Q96+1,R96)</f>
        <v>* group[=].element[=].target.display = ##34###34#</v>
      </c>
    </row>
    <row r="97" spans="16:19" x14ac:dyDescent="0.75">
      <c r="P97" s="7">
        <v>83</v>
      </c>
      <c r="Q97" s="7">
        <f t="shared" si="9"/>
        <v>13</v>
      </c>
      <c r="R97" s="7">
        <f t="shared" si="20"/>
        <v>5</v>
      </c>
      <c r="S97" s="10" t="str" cm="1">
        <f t="array" ref="S97">INDEX('eP-ConceptMap'!$I$15:$N$272,Q97+1,R97)</f>
        <v>* group[=].element[=].target.equivalence = #equivalent</v>
      </c>
    </row>
    <row r="98" spans="16:19" x14ac:dyDescent="0.75">
      <c r="P98" s="7">
        <v>84</v>
      </c>
      <c r="Q98" s="7">
        <f t="shared" si="9"/>
        <v>13</v>
      </c>
      <c r="R98" s="7">
        <f t="shared" si="20"/>
        <v>6</v>
      </c>
      <c r="S98" s="10" t="str" cm="1">
        <f t="array" ref="S98">INDEX('eP-ConceptMap'!$I$15:$N$272,Q98+1,R98)</f>
        <v/>
      </c>
    </row>
    <row r="99" spans="16:19" x14ac:dyDescent="0.75">
      <c r="P99" s="7">
        <v>85</v>
      </c>
      <c r="Q99" s="7">
        <f t="shared" si="9"/>
        <v>14</v>
      </c>
      <c r="R99" s="7">
        <f t="shared" si="20"/>
        <v>1</v>
      </c>
      <c r="S99" s="10" t="str" cm="1">
        <f t="array" ref="S99">INDEX('eP-ConceptMap'!$I$15:$N$272,Q99+1,R99)</f>
        <v>* group[=].element[+].code = #Prescription.details</v>
      </c>
    </row>
    <row r="100" spans="16:19" x14ac:dyDescent="0.75">
      <c r="P100" s="7">
        <v>86</v>
      </c>
      <c r="Q100" s="7">
        <f t="shared" si="9"/>
        <v>14</v>
      </c>
      <c r="R100" s="7">
        <f t="shared" si="20"/>
        <v>2</v>
      </c>
      <c r="S100" s="10" t="str" cm="1">
        <f t="array" ref="S100">INDEX('eP-ConceptMap'!$I$15:$N$272,Q100+1,R100)</f>
        <v>* group[=].element[=].display = ##34#A.1.5 Prescription information##34#</v>
      </c>
    </row>
    <row r="101" spans="16:19" x14ac:dyDescent="0.75">
      <c r="P101" s="7">
        <v>87</v>
      </c>
      <c r="Q101" s="7">
        <f t="shared" si="9"/>
        <v>14</v>
      </c>
      <c r="R101" s="7">
        <f t="shared" si="20"/>
        <v>3</v>
      </c>
      <c r="S101" s="10" t="str" cm="1">
        <f t="array" ref="S101">INDEX('eP-ConceptMap'!$I$15:$N$272,Q101+1,R101)</f>
        <v>* group[=].element[=].target.code = #MedicationRequest</v>
      </c>
    </row>
    <row r="102" spans="16:19" x14ac:dyDescent="0.75">
      <c r="P102" s="7">
        <v>88</v>
      </c>
      <c r="Q102" s="7">
        <f t="shared" si="9"/>
        <v>14</v>
      </c>
      <c r="R102" s="7">
        <f t="shared" si="20"/>
        <v>4</v>
      </c>
      <c r="S102" s="10" t="str" cm="1">
        <f t="array" ref="S102">INDEX('eP-ConceptMap'!$I$15:$N$272,Q102+1,R102)</f>
        <v>* group[=].element[=].target.display = ##34###34#</v>
      </c>
    </row>
    <row r="103" spans="16:19" x14ac:dyDescent="0.75">
      <c r="P103" s="7">
        <v>89</v>
      </c>
      <c r="Q103" s="7">
        <f t="shared" si="9"/>
        <v>14</v>
      </c>
      <c r="R103" s="7">
        <f t="shared" si="20"/>
        <v>5</v>
      </c>
      <c r="S103" s="10" t="str" cm="1">
        <f t="array" ref="S103">INDEX('eP-ConceptMap'!$I$15:$N$272,Q103+1,R103)</f>
        <v>* group[=].element[=].target.equivalence = #relatedto</v>
      </c>
    </row>
    <row r="104" spans="16:19" x14ac:dyDescent="0.75">
      <c r="P104" s="7">
        <v>90</v>
      </c>
      <c r="Q104" s="7">
        <f t="shared" si="9"/>
        <v>14</v>
      </c>
      <c r="R104" s="7">
        <f t="shared" si="20"/>
        <v>6</v>
      </c>
      <c r="S104" s="10" t="str" cm="1">
        <f t="array" ref="S104">INDEX('eP-ConceptMap'!$I$15:$N$272,Q104+1,R104)</f>
        <v/>
      </c>
    </row>
    <row r="105" spans="16:19" x14ac:dyDescent="0.75">
      <c r="P105" s="7">
        <v>91</v>
      </c>
      <c r="Q105" s="7">
        <f>IF(MOD(P105,$Q$8)=0,P105/$Q$8-1,INT(P105/$Q$8))</f>
        <v>15</v>
      </c>
      <c r="R105" s="7">
        <f>IF(MOD(P105,$Q$8)=0,$Q$8,MOD(P105,$Q$8))</f>
        <v>1</v>
      </c>
      <c r="S105" s="10" t="str" cm="1">
        <f t="array" ref="S105">INDEX('eP-ConceptMap'!$I$15:$N$272,Q105+1,R105)</f>
        <v>* group[=].element[+].code = #Prescription.details.quantity</v>
      </c>
    </row>
    <row r="106" spans="16:19" x14ac:dyDescent="0.75">
      <c r="P106" s="7">
        <v>92</v>
      </c>
      <c r="Q106" s="7">
        <f t="shared" si="9"/>
        <v>15</v>
      </c>
      <c r="R106" s="7">
        <f t="shared" ref="R106:R129" si="22">IF(MOD(P106,$Q$8)=0,$Q$8,MOD(P106,$Q$8))</f>
        <v>2</v>
      </c>
      <c r="S106" s="10" t="str" cm="1">
        <f t="array" ref="S106">INDEX('eP-ConceptMap'!$I$15:$N$272,Q106+1,R106)</f>
        <v>* group[=].element[=].display = ##34#A.1.5.2 Quantity of prescribed product##34#</v>
      </c>
    </row>
    <row r="107" spans="16:19" x14ac:dyDescent="0.75">
      <c r="P107" s="7">
        <v>93</v>
      </c>
      <c r="Q107" s="7">
        <f t="shared" si="9"/>
        <v>15</v>
      </c>
      <c r="R107" s="7">
        <f t="shared" si="22"/>
        <v>3</v>
      </c>
      <c r="S107" s="10" t="str" cm="1">
        <f t="array" ref="S107">INDEX('eP-ConceptMap'!$I$15:$N$272,Q107+1,R107)</f>
        <v>* group[=].element[=].target.code = #MedicationRequest.dispenseRequest.quantity</v>
      </c>
    </row>
    <row r="108" spans="16:19" x14ac:dyDescent="0.75">
      <c r="P108" s="7">
        <v>94</v>
      </c>
      <c r="Q108" s="7">
        <f t="shared" si="9"/>
        <v>15</v>
      </c>
      <c r="R108" s="7">
        <f t="shared" si="22"/>
        <v>4</v>
      </c>
      <c r="S108" s="10" t="str" cm="1">
        <f t="array" ref="S108">INDEX('eP-ConceptMap'!$I$15:$N$272,Q108+1,R108)</f>
        <v>* group[=].element[=].target.display = ##34###34#</v>
      </c>
    </row>
    <row r="109" spans="16:19" x14ac:dyDescent="0.75">
      <c r="P109" s="7">
        <v>95</v>
      </c>
      <c r="Q109" s="7">
        <f t="shared" si="9"/>
        <v>15</v>
      </c>
      <c r="R109" s="7">
        <f t="shared" si="22"/>
        <v>5</v>
      </c>
      <c r="S109" s="10" t="str" cm="1">
        <f t="array" ref="S109">INDEX('eP-ConceptMap'!$I$15:$N$272,Q109+1,R109)</f>
        <v>* group[=].element[=].target.equivalence = #relatedto</v>
      </c>
    </row>
    <row r="110" spans="16:19" x14ac:dyDescent="0.75">
      <c r="P110" s="7">
        <v>96</v>
      </c>
      <c r="Q110" s="7">
        <f t="shared" si="9"/>
        <v>15</v>
      </c>
      <c r="R110" s="7">
        <f t="shared" si="22"/>
        <v>6</v>
      </c>
      <c r="S110" s="10" t="str" cm="1">
        <f t="array" ref="S110">INDEX('eP-ConceptMap'!$I$15:$N$272,Q110+1,R110)</f>
        <v/>
      </c>
    </row>
    <row r="111" spans="16:19" x14ac:dyDescent="0.75">
      <c r="P111" s="7">
        <v>97</v>
      </c>
      <c r="Q111" s="7">
        <f t="shared" si="9"/>
        <v>16</v>
      </c>
      <c r="R111" s="7">
        <f t="shared" si="22"/>
        <v>1</v>
      </c>
      <c r="S111" s="10" t="str" cm="1">
        <f t="array" ref="S111">INDEX('eP-ConceptMap'!$I$15:$N$272,Q111+1,R111)</f>
        <v>* group[=].element[+].code = #Prescription.details.doseRegimen</v>
      </c>
    </row>
    <row r="112" spans="16:19" x14ac:dyDescent="0.75">
      <c r="P112" s="7">
        <v>98</v>
      </c>
      <c r="Q112" s="7">
        <f t="shared" si="9"/>
        <v>16</v>
      </c>
      <c r="R112" s="7">
        <f t="shared" si="22"/>
        <v>2</v>
      </c>
      <c r="S112" s="10" t="str" cm="1">
        <f t="array" ref="S112">INDEX('eP-ConceptMap'!$I$15:$N$272,Q112+1,R112)</f>
        <v>* group[=].element[=].display = ##34#A.1.5.3 Dose regimen##34#</v>
      </c>
    </row>
    <row r="113" spans="16:19" x14ac:dyDescent="0.75">
      <c r="P113" s="7">
        <v>99</v>
      </c>
      <c r="Q113" s="7">
        <f t="shared" si="9"/>
        <v>16</v>
      </c>
      <c r="R113" s="7">
        <f t="shared" si="22"/>
        <v>3</v>
      </c>
      <c r="S113" s="10" t="str" cm="1">
        <f t="array" ref="S113">INDEX('eP-ConceptMap'!$I$15:$N$272,Q113+1,R113)</f>
        <v>* group[=].element[=].target.code = #MedicationRequest.dosageInstruction</v>
      </c>
    </row>
    <row r="114" spans="16:19" x14ac:dyDescent="0.75">
      <c r="P114" s="7">
        <v>100</v>
      </c>
      <c r="Q114" s="7">
        <f t="shared" si="9"/>
        <v>16</v>
      </c>
      <c r="R114" s="7">
        <f t="shared" si="22"/>
        <v>4</v>
      </c>
      <c r="S114" s="10" t="str" cm="1">
        <f t="array" ref="S114">INDEX('eP-ConceptMap'!$I$15:$N$272,Q114+1,R114)</f>
        <v>* group[=].element[=].target.display = ##34###34#</v>
      </c>
    </row>
    <row r="115" spans="16:19" x14ac:dyDescent="0.75">
      <c r="P115" s="7">
        <v>101</v>
      </c>
      <c r="Q115" s="7">
        <f t="shared" si="9"/>
        <v>16</v>
      </c>
      <c r="R115" s="7">
        <f t="shared" si="22"/>
        <v>5</v>
      </c>
      <c r="S115" s="10" t="str" cm="1">
        <f t="array" ref="S115">INDEX('eP-ConceptMap'!$I$15:$N$272,Q115+1,R115)</f>
        <v>* group[=].element[=].target.equivalence = #equivalent</v>
      </c>
    </row>
    <row r="116" spans="16:19" x14ac:dyDescent="0.75">
      <c r="P116" s="7">
        <v>102</v>
      </c>
      <c r="Q116" s="7">
        <f t="shared" si="9"/>
        <v>16</v>
      </c>
      <c r="R116" s="7">
        <f t="shared" si="22"/>
        <v>6</v>
      </c>
      <c r="S116" s="10" t="str" cm="1">
        <f t="array" ref="S116">INDEX('eP-ConceptMap'!$I$15:$N$272,Q116+1,R116)</f>
        <v/>
      </c>
    </row>
    <row r="117" spans="16:19" x14ac:dyDescent="0.75">
      <c r="P117" s="7">
        <v>103</v>
      </c>
      <c r="Q117" s="7">
        <f t="shared" si="9"/>
        <v>17</v>
      </c>
      <c r="R117" s="7">
        <f t="shared" si="22"/>
        <v>1</v>
      </c>
      <c r="S117" s="10" t="str" cm="1">
        <f t="array" ref="S117">INDEX('eP-ConceptMap'!$I$15:$N$272,Q117+1,R117)</f>
        <v>* group[=].element[+].code = #Prescription.details.doseRegimen.numOfIntakes</v>
      </c>
    </row>
    <row r="118" spans="16:19" x14ac:dyDescent="0.75">
      <c r="P118" s="7">
        <v>104</v>
      </c>
      <c r="Q118" s="7">
        <f t="shared" si="9"/>
        <v>17</v>
      </c>
      <c r="R118" s="7">
        <f t="shared" si="22"/>
        <v>2</v>
      </c>
      <c r="S118" s="10" t="str" cm="1">
        <f t="array" ref="S118">INDEX('eP-ConceptMap'!$I$15:$N$272,Q118+1,R118)</f>
        <v>* group[=].element[=].display = ##34#A.1.5.3.1 Number of units per intake##34#</v>
      </c>
    </row>
    <row r="119" spans="16:19" ht="29.5" x14ac:dyDescent="0.75">
      <c r="P119" s="7">
        <v>105</v>
      </c>
      <c r="Q119" s="7">
        <f t="shared" si="9"/>
        <v>17</v>
      </c>
      <c r="R119" s="7">
        <f t="shared" si="22"/>
        <v>3</v>
      </c>
      <c r="S119" s="10" t="str" cm="1">
        <f t="array" ref="S119">INDEX('eP-ConceptMap'!$I$15:$N$272,Q119+1,R119)</f>
        <v>* group[=].element[=].target.code = #MedicationRequest.dosageInstruction.doseAndRate.doseQuantity</v>
      </c>
    </row>
    <row r="120" spans="16:19" x14ac:dyDescent="0.75">
      <c r="P120" s="7">
        <v>106</v>
      </c>
      <c r="Q120" s="7">
        <f t="shared" si="9"/>
        <v>17</v>
      </c>
      <c r="R120" s="7">
        <f t="shared" si="22"/>
        <v>4</v>
      </c>
      <c r="S120" s="10" t="str" cm="1">
        <f t="array" ref="S120">INDEX('eP-ConceptMap'!$I$15:$N$272,Q120+1,R120)</f>
        <v>* group[=].element[=].target.display = ##34###34#</v>
      </c>
    </row>
    <row r="121" spans="16:19" x14ac:dyDescent="0.75">
      <c r="P121" s="7">
        <v>107</v>
      </c>
      <c r="Q121" s="7">
        <f t="shared" si="9"/>
        <v>17</v>
      </c>
      <c r="R121" s="7">
        <f t="shared" si="22"/>
        <v>5</v>
      </c>
      <c r="S121" s="10" t="str" cm="1">
        <f t="array" ref="S121">INDEX('eP-ConceptMap'!$I$15:$N$272,Q121+1,R121)</f>
        <v>* group[=].element[=].target.equivalence = #equivalent</v>
      </c>
    </row>
    <row r="122" spans="16:19" x14ac:dyDescent="0.75">
      <c r="P122" s="7">
        <v>108</v>
      </c>
      <c r="Q122" s="7">
        <f t="shared" si="9"/>
        <v>17</v>
      </c>
      <c r="R122" s="7">
        <f t="shared" si="22"/>
        <v>6</v>
      </c>
      <c r="S122" s="10" t="str" cm="1">
        <f t="array" ref="S122">INDEX('eP-ConceptMap'!$I$15:$N$272,Q122+1,R122)</f>
        <v/>
      </c>
    </row>
    <row r="123" spans="16:19" x14ac:dyDescent="0.75">
      <c r="P123" s="7">
        <v>109</v>
      </c>
      <c r="Q123" s="7">
        <f t="shared" si="9"/>
        <v>18</v>
      </c>
      <c r="R123" s="7">
        <f t="shared" si="22"/>
        <v>1</v>
      </c>
      <c r="S123" s="10" t="str" cm="1">
        <f t="array" ref="S123">INDEX('eP-ConceptMap'!$I$15:$N$272,Q123+1,R123)</f>
        <v>* group[=].element[+].code = #Prescription.details.doseRegimen.frequencyOfIntakes</v>
      </c>
    </row>
    <row r="124" spans="16:19" x14ac:dyDescent="0.75">
      <c r="P124" s="7">
        <v>110</v>
      </c>
      <c r="Q124" s="7">
        <f t="shared" si="9"/>
        <v>18</v>
      </c>
      <c r="R124" s="7">
        <f t="shared" si="22"/>
        <v>2</v>
      </c>
      <c r="S124" s="10" t="str" cm="1">
        <f t="array" ref="S124">INDEX('eP-ConceptMap'!$I$15:$N$272,Q124+1,R124)</f>
        <v>* group[=].element[=].display = ##34#A.1.5.3.2 Frequency of intakes##34#</v>
      </c>
    </row>
    <row r="125" spans="16:19" x14ac:dyDescent="0.75">
      <c r="P125" s="7">
        <v>111</v>
      </c>
      <c r="Q125" s="7">
        <f t="shared" si="9"/>
        <v>18</v>
      </c>
      <c r="R125" s="7">
        <f t="shared" si="22"/>
        <v>3</v>
      </c>
      <c r="S125" s="10" t="str" cm="1">
        <f t="array" ref="S125">INDEX('eP-ConceptMap'!$I$15:$N$272,Q125+1,R125)</f>
        <v>* group[=].element[=].target.code = #MedicationRequest.dosageInstruction.timing</v>
      </c>
    </row>
    <row r="126" spans="16:19" x14ac:dyDescent="0.75">
      <c r="P126" s="7">
        <v>112</v>
      </c>
      <c r="Q126" s="7">
        <f t="shared" si="9"/>
        <v>18</v>
      </c>
      <c r="R126" s="7">
        <f t="shared" si="22"/>
        <v>4</v>
      </c>
      <c r="S126" s="10" t="str" cm="1">
        <f t="array" ref="S126">INDEX('eP-ConceptMap'!$I$15:$N$272,Q126+1,R126)</f>
        <v>* group[=].element[=].target.display = ##34###34#</v>
      </c>
    </row>
    <row r="127" spans="16:19" x14ac:dyDescent="0.75">
      <c r="P127" s="7">
        <v>113</v>
      </c>
      <c r="Q127" s="7">
        <f t="shared" si="9"/>
        <v>18</v>
      </c>
      <c r="R127" s="7">
        <f t="shared" si="22"/>
        <v>5</v>
      </c>
      <c r="S127" s="10" t="str" cm="1">
        <f t="array" ref="S127">INDEX('eP-ConceptMap'!$I$15:$N$272,Q127+1,R127)</f>
        <v>* group[=].element[=].target.equivalence = #relatedto</v>
      </c>
    </row>
    <row r="128" spans="16:19" ht="59" x14ac:dyDescent="0.75">
      <c r="P128" s="7">
        <v>114</v>
      </c>
      <c r="Q128" s="7">
        <f t="shared" si="9"/>
        <v>18</v>
      </c>
      <c r="R128" s="7">
        <f t="shared" si="22"/>
        <v>6</v>
      </c>
      <c r="S128" s="10" t="str" cm="1">
        <f t="array" ref="S128">INDEX('eP-ConceptMap'!$I$15:$N$272,Q128+1,R128)</f>
        <v>* group[=].element[=].target.comment = ##34#A combination of frequency, period and periodUnit.
'3 times per day', 3 would be the frequency and '1 day' would be the period/periodUnit.##34#</v>
      </c>
    </row>
    <row r="129" spans="16:19" x14ac:dyDescent="0.75">
      <c r="P129" s="7">
        <v>115</v>
      </c>
      <c r="Q129" s="7">
        <f t="shared" si="9"/>
        <v>19</v>
      </c>
      <c r="R129" s="7">
        <f t="shared" si="22"/>
        <v>1</v>
      </c>
      <c r="S129" s="10" t="str" cm="1">
        <f t="array" ref="S129">INDEX('eP-ConceptMap'!$I$15:$N$272,Q129+1,R129)</f>
        <v>* group[=].element[+].code = #Prescription.details.route</v>
      </c>
    </row>
    <row r="130" spans="16:19" x14ac:dyDescent="0.75">
      <c r="P130" s="7">
        <v>116</v>
      </c>
      <c r="Q130" s="7">
        <f>IF(MOD(P130,$Q$8)=0,P130/$Q$8-1,INT(P130/$Q$8))</f>
        <v>19</v>
      </c>
      <c r="R130" s="7">
        <f>IF(MOD(P130,$Q$8)=0,$Q$8,MOD(P130,$Q$8))</f>
        <v>2</v>
      </c>
      <c r="S130" s="10" t="str" cm="1">
        <f t="array" ref="S130">INDEX('eP-ConceptMap'!$I$15:$N$272,Q130+1,R130)</f>
        <v>* group[=].element[=].display = ##34#A.1.5.4 Route of administration##34#</v>
      </c>
    </row>
    <row r="131" spans="16:19" x14ac:dyDescent="0.75">
      <c r="P131" s="7">
        <v>117</v>
      </c>
      <c r="Q131" s="7">
        <f t="shared" si="9"/>
        <v>19</v>
      </c>
      <c r="R131" s="7">
        <f t="shared" ref="R131:R192" si="23">IF(MOD(P131,$Q$8)=0,$Q$8,MOD(P131,$Q$8))</f>
        <v>3</v>
      </c>
      <c r="S131" s="10" t="str" cm="1">
        <f t="array" ref="S131">INDEX('eP-ConceptMap'!$I$15:$N$272,Q131+1,R131)</f>
        <v>* group[=].element[=].target.code = #MedicationRequest.dosageInstruction.route</v>
      </c>
    </row>
    <row r="132" spans="16:19" x14ac:dyDescent="0.75">
      <c r="P132" s="7">
        <v>118</v>
      </c>
      <c r="Q132" s="7">
        <f t="shared" si="9"/>
        <v>19</v>
      </c>
      <c r="R132" s="7">
        <f t="shared" si="23"/>
        <v>4</v>
      </c>
      <c r="S132" s="10" t="str" cm="1">
        <f t="array" ref="S132">INDEX('eP-ConceptMap'!$I$15:$N$272,Q132+1,R132)</f>
        <v>* group[=].element[=].target.display = ##34###34#</v>
      </c>
    </row>
    <row r="133" spans="16:19" x14ac:dyDescent="0.75">
      <c r="P133" s="7">
        <v>119</v>
      </c>
      <c r="Q133" s="7">
        <f t="shared" si="9"/>
        <v>19</v>
      </c>
      <c r="R133" s="7">
        <f t="shared" si="23"/>
        <v>5</v>
      </c>
      <c r="S133" s="10" t="str" cm="1">
        <f t="array" ref="S133">INDEX('eP-ConceptMap'!$I$15:$N$272,Q133+1,R133)</f>
        <v>* group[=].element[=].target.equivalence = #equivalent</v>
      </c>
    </row>
    <row r="134" spans="16:19" x14ac:dyDescent="0.75">
      <c r="P134" s="7">
        <v>120</v>
      </c>
      <c r="Q134" s="7">
        <f t="shared" si="9"/>
        <v>19</v>
      </c>
      <c r="R134" s="7">
        <f t="shared" si="23"/>
        <v>6</v>
      </c>
      <c r="S134" s="10" t="str" cm="1">
        <f t="array" ref="S134">INDEX('eP-ConceptMap'!$I$15:$N$272,Q134+1,R134)</f>
        <v/>
      </c>
    </row>
    <row r="135" spans="16:19" x14ac:dyDescent="0.75">
      <c r="P135" s="7">
        <v>121</v>
      </c>
      <c r="Q135" s="7">
        <f t="shared" si="9"/>
        <v>20</v>
      </c>
      <c r="R135" s="7">
        <f t="shared" si="23"/>
        <v>1</v>
      </c>
      <c r="S135" s="10" t="str" cm="1">
        <f t="array" ref="S135">INDEX('eP-ConceptMap'!$I$15:$N$272,Q135+1,R135)</f>
        <v>* group[=].element[+].code = #Prescription.details.duration</v>
      </c>
    </row>
    <row r="136" spans="16:19" x14ac:dyDescent="0.75">
      <c r="P136" s="7">
        <v>122</v>
      </c>
      <c r="Q136" s="7">
        <f t="shared" si="9"/>
        <v>20</v>
      </c>
      <c r="R136" s="7">
        <f t="shared" si="23"/>
        <v>2</v>
      </c>
      <c r="S136" s="10" t="str" cm="1">
        <f t="array" ref="S136">INDEX('eP-ConceptMap'!$I$15:$N$272,Q136+1,R136)</f>
        <v>* group[=].element[=].display = ##34#A.1.5.5 Duration of treatment##34#</v>
      </c>
    </row>
    <row r="137" spans="16:19" ht="29.5" x14ac:dyDescent="0.75">
      <c r="P137" s="7">
        <v>123</v>
      </c>
      <c r="Q137" s="7">
        <f t="shared" si="9"/>
        <v>20</v>
      </c>
      <c r="R137" s="7">
        <f t="shared" si="23"/>
        <v>3</v>
      </c>
      <c r="S137" s="10" t="str" cm="1">
        <f t="array" ref="S137">INDEX('eP-ConceptMap'!$I$15:$N$272,Q137+1,R137)</f>
        <v>* group[=].element[=].target.code = #MedicationRequest.dosageInstruction.timing.repeat.duration</v>
      </c>
    </row>
    <row r="138" spans="16:19" x14ac:dyDescent="0.75">
      <c r="P138" s="7">
        <v>124</v>
      </c>
      <c r="Q138" s="7">
        <f t="shared" si="9"/>
        <v>20</v>
      </c>
      <c r="R138" s="7">
        <f t="shared" si="23"/>
        <v>4</v>
      </c>
      <c r="S138" s="10" t="str" cm="1">
        <f t="array" ref="S138">INDEX('eP-ConceptMap'!$I$15:$N$272,Q138+1,R138)</f>
        <v>* group[=].element[=].target.display = ##34###34#</v>
      </c>
    </row>
    <row r="139" spans="16:19" x14ac:dyDescent="0.75">
      <c r="P139" s="7">
        <v>125</v>
      </c>
      <c r="Q139" s="7">
        <f t="shared" si="9"/>
        <v>20</v>
      </c>
      <c r="R139" s="7">
        <f t="shared" si="23"/>
        <v>5</v>
      </c>
      <c r="S139" s="10" t="str" cm="1">
        <f t="array" ref="S139">INDEX('eP-ConceptMap'!$I$15:$N$272,Q139+1,R139)</f>
        <v>* group[=].element[=].target.equivalence = #equivalent</v>
      </c>
    </row>
    <row r="140" spans="16:19" x14ac:dyDescent="0.75">
      <c r="P140" s="7">
        <v>126</v>
      </c>
      <c r="Q140" s="7">
        <f t="shared" si="9"/>
        <v>20</v>
      </c>
      <c r="R140" s="7">
        <f t="shared" si="23"/>
        <v>6</v>
      </c>
      <c r="S140" s="10" t="str" cm="1">
        <f t="array" ref="S140">INDEX('eP-ConceptMap'!$I$15:$N$272,Q140+1,R140)</f>
        <v/>
      </c>
    </row>
    <row r="141" spans="16:19" x14ac:dyDescent="0.75">
      <c r="P141" s="7">
        <v>127</v>
      </c>
      <c r="Q141" s="7">
        <f t="shared" si="9"/>
        <v>21</v>
      </c>
      <c r="R141" s="7">
        <f t="shared" si="23"/>
        <v>1</v>
      </c>
      <c r="S141" s="10" t="str" cm="1">
        <f t="array" ref="S141">INDEX('eP-ConceptMap'!$I$15:$N$272,Q141+1,R141)</f>
        <v>* group[=].element[+].code = #Prescription.details.startDate</v>
      </c>
    </row>
    <row r="142" spans="16:19" x14ac:dyDescent="0.75">
      <c r="P142" s="7">
        <v>128</v>
      </c>
      <c r="Q142" s="7">
        <f t="shared" si="9"/>
        <v>21</v>
      </c>
      <c r="R142" s="7">
        <f t="shared" si="23"/>
        <v>2</v>
      </c>
      <c r="S142" s="10" t="str" cm="1">
        <f t="array" ref="S142">INDEX('eP-ConceptMap'!$I$15:$N$272,Q142+1,R142)</f>
        <v>* group[=].element[=].display = ##34#A.1.5.6 Starting date of therapy ##34#</v>
      </c>
    </row>
    <row r="143" spans="16:19" ht="29.5" x14ac:dyDescent="0.75">
      <c r="P143" s="7">
        <v>129</v>
      </c>
      <c r="Q143" s="7">
        <f t="shared" si="9"/>
        <v>21</v>
      </c>
      <c r="R143" s="7">
        <f t="shared" si="23"/>
        <v>3</v>
      </c>
      <c r="S143" s="10" t="str" cm="1">
        <f t="array" ref="S143">INDEX('eP-ConceptMap'!$I$15:$N$272,Q143+1,R143)</f>
        <v>* group[=].element[=].target.code = #MedicationRequest.dosageInstruction.timing.duration</v>
      </c>
    </row>
    <row r="144" spans="16:19" x14ac:dyDescent="0.75">
      <c r="P144" s="7">
        <v>130</v>
      </c>
      <c r="Q144" s="7">
        <f t="shared" si="9"/>
        <v>21</v>
      </c>
      <c r="R144" s="7">
        <f t="shared" si="23"/>
        <v>4</v>
      </c>
      <c r="S144" s="10" t="str" cm="1">
        <f t="array" ref="S144">INDEX('eP-ConceptMap'!$I$15:$N$272,Q144+1,R144)</f>
        <v>* group[=].element[=].target.display = ##34###34#</v>
      </c>
    </row>
    <row r="145" spans="16:19" x14ac:dyDescent="0.75">
      <c r="P145" s="7">
        <v>131</v>
      </c>
      <c r="Q145" s="7">
        <f t="shared" si="9"/>
        <v>21</v>
      </c>
      <c r="R145" s="7">
        <f t="shared" si="23"/>
        <v>5</v>
      </c>
      <c r="S145" s="10" t="str" cm="1">
        <f t="array" ref="S145">INDEX('eP-ConceptMap'!$I$15:$N$272,Q145+1,R145)</f>
        <v>* group[=].element[=].target.equivalence = #relatedto</v>
      </c>
    </row>
    <row r="146" spans="16:19" x14ac:dyDescent="0.75">
      <c r="P146" s="7">
        <v>132</v>
      </c>
      <c r="Q146" s="7">
        <f t="shared" si="9"/>
        <v>21</v>
      </c>
      <c r="R146" s="7">
        <f t="shared" si="23"/>
        <v>6</v>
      </c>
      <c r="S146" s="10" t="str" cm="1">
        <f t="array" ref="S146">INDEX('eP-ConceptMap'!$I$15:$N$272,Q146+1,R146)</f>
        <v/>
      </c>
    </row>
    <row r="147" spans="16:19" x14ac:dyDescent="0.75">
      <c r="P147" s="7">
        <v>133</v>
      </c>
      <c r="Q147" s="7">
        <f t="shared" si="9"/>
        <v>22</v>
      </c>
      <c r="R147" s="7">
        <f t="shared" si="23"/>
        <v>1</v>
      </c>
      <c r="S147" s="10" t="str" cm="1">
        <f t="array" ref="S147">INDEX('eP-ConceptMap'!$I$15:$N$272,Q147+1,R147)</f>
        <v>* group[=].element[+].code = #Prescription.details.directionsOfUse</v>
      </c>
    </row>
    <row r="148" spans="16:19" x14ac:dyDescent="0.75">
      <c r="P148" s="7">
        <v>134</v>
      </c>
      <c r="Q148" s="7">
        <f t="shared" si="9"/>
        <v>22</v>
      </c>
      <c r="R148" s="7">
        <f t="shared" si="23"/>
        <v>2</v>
      </c>
      <c r="S148" s="10" t="str" cm="1">
        <f t="array" ref="S148">INDEX('eP-ConceptMap'!$I$15:$N$272,Q148+1,R148)</f>
        <v>* group[=].element[=].display = ##34#A.1.5.7 Directions for use##34#</v>
      </c>
    </row>
    <row r="149" spans="16:19" x14ac:dyDescent="0.75">
      <c r="P149" s="7">
        <v>135</v>
      </c>
      <c r="Q149" s="7">
        <f t="shared" si="9"/>
        <v>22</v>
      </c>
      <c r="R149" s="7">
        <f t="shared" si="23"/>
        <v>3</v>
      </c>
      <c r="S149" s="10" t="str" cm="1">
        <f t="array" ref="S149">INDEX('eP-ConceptMap'!$I$15:$N$272,Q149+1,R149)</f>
        <v>* group[=].element[=].target.code = #MedicationRequest.dosageInstruction</v>
      </c>
    </row>
    <row r="150" spans="16:19" x14ac:dyDescent="0.75">
      <c r="P150" s="7">
        <v>136</v>
      </c>
      <c r="Q150" s="7">
        <f t="shared" si="9"/>
        <v>22</v>
      </c>
      <c r="R150" s="7">
        <f t="shared" si="23"/>
        <v>4</v>
      </c>
      <c r="S150" s="10" t="str" cm="1">
        <f t="array" ref="S150">INDEX('eP-ConceptMap'!$I$15:$N$272,Q150+1,R150)</f>
        <v>* group[=].element[=].target.display = ##34###34#</v>
      </c>
    </row>
    <row r="151" spans="16:19" x14ac:dyDescent="0.75">
      <c r="P151" s="7">
        <v>137</v>
      </c>
      <c r="Q151" s="7">
        <f t="shared" si="9"/>
        <v>22</v>
      </c>
      <c r="R151" s="7">
        <f t="shared" si="23"/>
        <v>5</v>
      </c>
      <c r="S151" s="10" t="str" cm="1">
        <f t="array" ref="S151">INDEX('eP-ConceptMap'!$I$15:$N$272,Q151+1,R151)</f>
        <v>* group[=].element[=].target.equivalence = #relatedto</v>
      </c>
    </row>
    <row r="152" spans="16:19" x14ac:dyDescent="0.75">
      <c r="P152" s="7">
        <v>138</v>
      </c>
      <c r="Q152" s="7">
        <f t="shared" si="9"/>
        <v>22</v>
      </c>
      <c r="R152" s="7">
        <f t="shared" si="23"/>
        <v>6</v>
      </c>
      <c r="S152" s="10" t="str" cm="1">
        <f t="array" ref="S152">INDEX('eP-ConceptMap'!$I$15:$N$272,Q152+1,R152)</f>
        <v/>
      </c>
    </row>
    <row r="153" spans="16:19" x14ac:dyDescent="0.75">
      <c r="P153" s="7">
        <v>139</v>
      </c>
      <c r="Q153" s="7">
        <f t="shared" si="9"/>
        <v>23</v>
      </c>
      <c r="R153" s="7">
        <f t="shared" si="23"/>
        <v>1</v>
      </c>
      <c r="S153" s="10" t="str" cm="1">
        <f t="array" ref="S153">INDEX('eP-ConceptMap'!$I$15:$N$272,Q153+1,R153)</f>
        <v>* group[=].element[+].code = #Prescription.details.expiryDate</v>
      </c>
    </row>
    <row r="154" spans="16:19" x14ac:dyDescent="0.75">
      <c r="P154" s="7">
        <v>140</v>
      </c>
      <c r="Q154" s="7">
        <f t="shared" si="9"/>
        <v>23</v>
      </c>
      <c r="R154" s="7">
        <f t="shared" si="23"/>
        <v>2</v>
      </c>
      <c r="S154" s="10" t="str" cm="1">
        <f t="array" ref="S154">INDEX('eP-ConceptMap'!$I$15:$N$272,Q154+1,R154)</f>
        <v>* group[=].element[=].display = ##34#A.1.5.8 Prescription expiry date##34#</v>
      </c>
    </row>
    <row r="155" spans="16:19" ht="29.5" x14ac:dyDescent="0.75">
      <c r="P155" s="7">
        <v>141</v>
      </c>
      <c r="Q155" s="7">
        <f t="shared" si="9"/>
        <v>23</v>
      </c>
      <c r="R155" s="7">
        <f t="shared" si="23"/>
        <v>3</v>
      </c>
      <c r="S155" s="10" t="str" cm="1">
        <f t="array" ref="S155">INDEX('eP-ConceptMap'!$I$15:$N$272,Q155+1,R155)</f>
        <v>* group[=].element[=].target.code = #MedicationRequest.dispenseRequest.validityPeriod</v>
      </c>
    </row>
    <row r="156" spans="16:19" x14ac:dyDescent="0.75">
      <c r="P156" s="7">
        <v>142</v>
      </c>
      <c r="Q156" s="7">
        <f t="shared" si="9"/>
        <v>23</v>
      </c>
      <c r="R156" s="7">
        <f t="shared" si="23"/>
        <v>4</v>
      </c>
      <c r="S156" s="10" t="str" cm="1">
        <f t="array" ref="S156">INDEX('eP-ConceptMap'!$I$15:$N$272,Q156+1,R156)</f>
        <v>* group[=].element[=].target.display = ##34###34#</v>
      </c>
    </row>
    <row r="157" spans="16:19" x14ac:dyDescent="0.75">
      <c r="P157" s="7">
        <v>143</v>
      </c>
      <c r="Q157" s="7">
        <f t="shared" si="9"/>
        <v>23</v>
      </c>
      <c r="R157" s="7">
        <f t="shared" si="23"/>
        <v>5</v>
      </c>
      <c r="S157" s="10" t="str" cm="1">
        <f t="array" ref="S157">INDEX('eP-ConceptMap'!$I$15:$N$272,Q157+1,R157)</f>
        <v>* group[=].element[=].target.equivalence = #equivalent</v>
      </c>
    </row>
    <row r="158" spans="16:19" x14ac:dyDescent="0.75">
      <c r="P158" s="7">
        <v>144</v>
      </c>
      <c r="Q158" s="7">
        <f t="shared" si="9"/>
        <v>23</v>
      </c>
      <c r="R158" s="7">
        <f t="shared" si="23"/>
        <v>6</v>
      </c>
      <c r="S158" s="10" t="str" cm="1">
        <f t="array" ref="S158">INDEX('eP-ConceptMap'!$I$15:$N$272,Q158+1,R158)</f>
        <v/>
      </c>
    </row>
    <row r="159" spans="16:19" x14ac:dyDescent="0.75">
      <c r="P159" s="7">
        <v>145</v>
      </c>
      <c r="Q159" s="7">
        <f t="shared" si="9"/>
        <v>24</v>
      </c>
      <c r="R159" s="7">
        <f t="shared" si="23"/>
        <v>1</v>
      </c>
      <c r="S159" s="10" t="str" cm="1">
        <f t="array" ref="S159">INDEX('eP-ConceptMap'!$I$15:$N$272,Q159+1,R159)</f>
        <v>* group[=].element[+].code = #Prescription.details.repeats</v>
      </c>
    </row>
    <row r="160" spans="16:19" x14ac:dyDescent="0.75">
      <c r="P160" s="7">
        <v>146</v>
      </c>
      <c r="Q160" s="7">
        <f t="shared" si="9"/>
        <v>24</v>
      </c>
      <c r="R160" s="7">
        <f t="shared" si="23"/>
        <v>2</v>
      </c>
      <c r="S160" s="10" t="str" cm="1">
        <f t="array" ref="S160">INDEX('eP-ConceptMap'!$I$15:$N$272,Q160+1,R160)</f>
        <v>* group[=].element[=].display = ##34#A.1.5.9 Repeats##34#</v>
      </c>
    </row>
    <row r="161" spans="16:19" x14ac:dyDescent="0.75">
      <c r="P161" s="7">
        <v>147</v>
      </c>
      <c r="Q161" s="7">
        <f t="shared" si="9"/>
        <v>24</v>
      </c>
      <c r="R161" s="7">
        <f t="shared" si="23"/>
        <v>3</v>
      </c>
      <c r="S161" s="10" t="str" cm="1">
        <f t="array" ref="S161">INDEX('eP-ConceptMap'!$I$15:$N$272,Q161+1,R161)</f>
        <v>* group[=].element[=].target.code = #MedicationRequest</v>
      </c>
    </row>
    <row r="162" spans="16:19" x14ac:dyDescent="0.75">
      <c r="P162" s="7">
        <v>148</v>
      </c>
      <c r="Q162" s="7">
        <f t="shared" si="9"/>
        <v>24</v>
      </c>
      <c r="R162" s="7">
        <f t="shared" si="23"/>
        <v>4</v>
      </c>
      <c r="S162" s="10" t="str" cm="1">
        <f t="array" ref="S162">INDEX('eP-ConceptMap'!$I$15:$N$272,Q162+1,R162)</f>
        <v>* group[=].element[=].target.display = ##34###34#</v>
      </c>
    </row>
    <row r="163" spans="16:19" x14ac:dyDescent="0.75">
      <c r="P163" s="7">
        <v>149</v>
      </c>
      <c r="Q163" s="7">
        <f t="shared" si="9"/>
        <v>24</v>
      </c>
      <c r="R163" s="7">
        <f t="shared" si="23"/>
        <v>5</v>
      </c>
      <c r="S163" s="10" t="str" cm="1">
        <f t="array" ref="S163">INDEX('eP-ConceptMap'!$I$15:$N$272,Q163+1,R163)</f>
        <v>* group[=].element[=].target.equivalence = #relatedto</v>
      </c>
    </row>
    <row r="164" spans="16:19" x14ac:dyDescent="0.75">
      <c r="P164" s="7">
        <v>150</v>
      </c>
      <c r="Q164" s="7">
        <f t="shared" si="9"/>
        <v>24</v>
      </c>
      <c r="R164" s="7">
        <f t="shared" si="23"/>
        <v>6</v>
      </c>
      <c r="S164" s="10" t="str" cm="1">
        <f t="array" ref="S164">INDEX('eP-ConceptMap'!$I$15:$N$272,Q164+1,R164)</f>
        <v>* group[=].element[=].target.comment = ##34#TO BE DISCUSSED##34#</v>
      </c>
    </row>
    <row r="165" spans="16:19" x14ac:dyDescent="0.75">
      <c r="P165" s="7">
        <v>151</v>
      </c>
      <c r="Q165" s="7">
        <f t="shared" si="9"/>
        <v>25</v>
      </c>
      <c r="R165" s="7">
        <f t="shared" si="23"/>
        <v>1</v>
      </c>
      <c r="S165" s="10" t="str" cm="1">
        <f t="array" ref="S165">INDEX('eP-ConceptMap'!$I$15:$N$272,Q165+1,R165)</f>
        <v>* group[=].element[+].code = #Prescription.details.reason</v>
      </c>
    </row>
    <row r="166" spans="16:19" x14ac:dyDescent="0.75">
      <c r="P166" s="7">
        <v>152</v>
      </c>
      <c r="Q166" s="7">
        <f t="shared" si="9"/>
        <v>25</v>
      </c>
      <c r="R166" s="7">
        <f t="shared" si="23"/>
        <v>2</v>
      </c>
      <c r="S166" s="10" t="str" cm="1">
        <f t="array" ref="S166">INDEX('eP-ConceptMap'!$I$15:$N$272,Q166+1,R166)</f>
        <v>* group[=].element[=].display = ##34#A.1.5.10 Reason for prescription##34#</v>
      </c>
    </row>
    <row r="167" spans="16:19" x14ac:dyDescent="0.75">
      <c r="P167" s="7">
        <v>153</v>
      </c>
      <c r="Q167" s="7">
        <f t="shared" si="9"/>
        <v>25</v>
      </c>
      <c r="R167" s="7">
        <f t="shared" si="23"/>
        <v>3</v>
      </c>
      <c r="S167" s="10" t="str" cm="1">
        <f t="array" ref="S167">INDEX('eP-ConceptMap'!$I$15:$N$272,Q167+1,R167)</f>
        <v>* group[=].element[=].target.code = #MedicationRequest.reasonReference</v>
      </c>
    </row>
    <row r="168" spans="16:19" x14ac:dyDescent="0.75">
      <c r="P168" s="7">
        <v>154</v>
      </c>
      <c r="Q168" s="7">
        <f t="shared" si="9"/>
        <v>25</v>
      </c>
      <c r="R168" s="7">
        <f t="shared" si="23"/>
        <v>4</v>
      </c>
      <c r="S168" s="10" t="str" cm="1">
        <f t="array" ref="S168">INDEX('eP-ConceptMap'!$I$15:$N$272,Q168+1,R168)</f>
        <v>* group[=].element[=].target.display = ##34###34#</v>
      </c>
    </row>
    <row r="169" spans="16:19" x14ac:dyDescent="0.75">
      <c r="P169" s="7">
        <v>155</v>
      </c>
      <c r="Q169" s="7">
        <f t="shared" si="9"/>
        <v>25</v>
      </c>
      <c r="R169" s="7">
        <f t="shared" si="23"/>
        <v>5</v>
      </c>
      <c r="S169" s="10" t="str" cm="1">
        <f t="array" ref="S169">INDEX('eP-ConceptMap'!$I$15:$N$272,Q169+1,R169)</f>
        <v>* group[=].element[=].target.equivalence = #relatedto</v>
      </c>
    </row>
    <row r="170" spans="16:19" x14ac:dyDescent="0.75">
      <c r="P170" s="7">
        <v>156</v>
      </c>
      <c r="Q170" s="7">
        <f t="shared" si="9"/>
        <v>25</v>
      </c>
      <c r="R170" s="7">
        <f t="shared" si="23"/>
        <v>6</v>
      </c>
      <c r="S170" s="10" t="str" cm="1">
        <f t="array" ref="S170">INDEX('eP-ConceptMap'!$I$15:$N$272,Q170+1,R170)</f>
        <v/>
      </c>
    </row>
    <row r="171" spans="16:19" x14ac:dyDescent="0.75">
      <c r="P171" s="7">
        <v>157</v>
      </c>
      <c r="Q171" s="7">
        <f t="shared" si="9"/>
        <v>26</v>
      </c>
      <c r="R171" s="7">
        <f t="shared" si="23"/>
        <v>1</v>
      </c>
      <c r="S171" s="10" t="str" cm="1">
        <f t="array" ref="S171">INDEX('eP-ConceptMap'!$I$15:$N$272,Q171+1,R171)</f>
        <v>* group[=].element[+].code = #Prescription.details.reason</v>
      </c>
    </row>
    <row r="172" spans="16:19" x14ac:dyDescent="0.75">
      <c r="P172" s="7">
        <v>158</v>
      </c>
      <c r="Q172" s="7">
        <f t="shared" si="9"/>
        <v>26</v>
      </c>
      <c r="R172" s="7">
        <f t="shared" si="23"/>
        <v>2</v>
      </c>
      <c r="S172" s="10" t="str" cm="1">
        <f t="array" ref="S172">INDEX('eP-ConceptMap'!$I$15:$N$272,Q172+1,R172)</f>
        <v>* group[=].element[=].display = ##34#A.1.5.10 Reason for prescription##34#</v>
      </c>
    </row>
    <row r="173" spans="16:19" x14ac:dyDescent="0.75">
      <c r="P173" s="7">
        <v>159</v>
      </c>
      <c r="Q173" s="7">
        <f t="shared" si="9"/>
        <v>26</v>
      </c>
      <c r="R173" s="7">
        <f t="shared" si="23"/>
        <v>3</v>
      </c>
      <c r="S173" s="10" t="str" cm="1">
        <f t="array" ref="S173">INDEX('eP-ConceptMap'!$I$15:$N$272,Q173+1,R173)</f>
        <v>* group[=].element[=].target.code = #MedicationRequest.reasonCode</v>
      </c>
    </row>
    <row r="174" spans="16:19" x14ac:dyDescent="0.75">
      <c r="P174" s="7">
        <v>160</v>
      </c>
      <c r="Q174" s="7">
        <f t="shared" si="9"/>
        <v>26</v>
      </c>
      <c r="R174" s="7">
        <f t="shared" si="23"/>
        <v>4</v>
      </c>
      <c r="S174" s="10" t="str" cm="1">
        <f t="array" ref="S174">INDEX('eP-ConceptMap'!$I$15:$N$272,Q174+1,R174)</f>
        <v>* group[=].element[=].target.display = ##34###34#</v>
      </c>
    </row>
    <row r="175" spans="16:19" x14ac:dyDescent="0.75">
      <c r="P175" s="7">
        <v>161</v>
      </c>
      <c r="Q175" s="7">
        <f t="shared" si="9"/>
        <v>26</v>
      </c>
      <c r="R175" s="7">
        <f t="shared" si="23"/>
        <v>5</v>
      </c>
      <c r="S175" s="10" t="str" cm="1">
        <f t="array" ref="S175">INDEX('eP-ConceptMap'!$I$15:$N$272,Q175+1,R175)</f>
        <v>* group[=].element[=].target.equivalence = #equivalent</v>
      </c>
    </row>
    <row r="176" spans="16:19" x14ac:dyDescent="0.75">
      <c r="P176" s="7">
        <v>162</v>
      </c>
      <c r="Q176" s="7">
        <f t="shared" si="9"/>
        <v>26</v>
      </c>
      <c r="R176" s="7">
        <f t="shared" si="23"/>
        <v>6</v>
      </c>
      <c r="S176" s="10" t="str" cm="1">
        <f t="array" ref="S176">INDEX('eP-ConceptMap'!$I$15:$N$272,Q176+1,R176)</f>
        <v/>
      </c>
    </row>
    <row r="177" spans="16:19" x14ac:dyDescent="0.75">
      <c r="P177" s="7">
        <v>163</v>
      </c>
      <c r="Q177" s="7">
        <f t="shared" si="9"/>
        <v>27</v>
      </c>
      <c r="R177" s="7">
        <f t="shared" si="23"/>
        <v>1</v>
      </c>
      <c r="S177" s="10" t="str" cm="1">
        <f t="array" ref="S177">INDEX('eP-ConceptMap'!$I$15:$N$272,Q177+1,R177)</f>
        <v>* group[=].element[+].code = #Prescription.details.substitution</v>
      </c>
    </row>
    <row r="178" spans="16:19" x14ac:dyDescent="0.75">
      <c r="P178" s="7">
        <v>164</v>
      </c>
      <c r="Q178" s="7">
        <f t="shared" si="9"/>
        <v>27</v>
      </c>
      <c r="R178" s="7">
        <f t="shared" si="23"/>
        <v>2</v>
      </c>
      <c r="S178" s="10" t="str" cm="1">
        <f t="array" ref="S178">INDEX('eP-ConceptMap'!$I$15:$N$272,Q178+1,R178)</f>
        <v>* group[=].element[=].display = ##34#A.1.5.11 Substitution##34#</v>
      </c>
    </row>
    <row r="179" spans="16:19" ht="29.5" x14ac:dyDescent="0.75">
      <c r="P179" s="7">
        <v>165</v>
      </c>
      <c r="Q179" s="7">
        <f t="shared" si="9"/>
        <v>27</v>
      </c>
      <c r="R179" s="7">
        <f t="shared" si="23"/>
        <v>3</v>
      </c>
      <c r="S179" s="10" t="str" cm="1">
        <f t="array" ref="S179">INDEX('eP-ConceptMap'!$I$15:$N$272,Q179+1,R179)</f>
        <v>* group[=].element[=].target.code = #MedicationRequest.substitution.allowedCodeableConcept</v>
      </c>
    </row>
    <row r="180" spans="16:19" x14ac:dyDescent="0.75">
      <c r="P180" s="7">
        <v>166</v>
      </c>
      <c r="Q180" s="7">
        <f t="shared" si="9"/>
        <v>27</v>
      </c>
      <c r="R180" s="7">
        <f t="shared" si="23"/>
        <v>4</v>
      </c>
      <c r="S180" s="10" t="str" cm="1">
        <f t="array" ref="S180">INDEX('eP-ConceptMap'!$I$15:$N$272,Q180+1,R180)</f>
        <v>* group[=].element[=].target.display = ##34###34#</v>
      </c>
    </row>
    <row r="181" spans="16:19" x14ac:dyDescent="0.75">
      <c r="P181" s="7">
        <v>167</v>
      </c>
      <c r="Q181" s="7">
        <f t="shared" ref="Q181" si="24">IF(MOD(P181,$Q$8)=0,P181/$Q$8-1,INT(P181/$Q$8))</f>
        <v>27</v>
      </c>
      <c r="R181" s="7">
        <f t="shared" si="23"/>
        <v>5</v>
      </c>
      <c r="S181" s="10" t="str" cm="1">
        <f t="array" ref="S181">INDEX('eP-ConceptMap'!$I$15:$N$272,Q181+1,R181)</f>
        <v>* group[=].element[=].target.equivalence = #equivalent</v>
      </c>
    </row>
    <row r="182" spans="16:19" x14ac:dyDescent="0.75">
      <c r="P182" s="7">
        <v>168</v>
      </c>
      <c r="Q182" s="7">
        <f t="shared" si="9"/>
        <v>27</v>
      </c>
      <c r="R182" s="7">
        <f t="shared" si="23"/>
        <v>6</v>
      </c>
      <c r="S182" s="10" t="str" cm="1">
        <f t="array" ref="S182">INDEX('eP-ConceptMap'!$I$15:$N$272,Q182+1,R182)</f>
        <v/>
      </c>
    </row>
    <row r="183" spans="16:19" x14ac:dyDescent="0.75">
      <c r="P183" s="7">
        <v>169</v>
      </c>
      <c r="Q183" s="7">
        <f t="shared" si="9"/>
        <v>28</v>
      </c>
      <c r="R183" s="7">
        <f t="shared" si="23"/>
        <v>1</v>
      </c>
      <c r="S183" s="10" cm="1">
        <f t="array" ref="S183">INDEX('eP-ConceptMap'!$I$15:$N$272,Q183+1,R183)</f>
        <v>0</v>
      </c>
    </row>
    <row r="184" spans="16:19" x14ac:dyDescent="0.75">
      <c r="P184" s="7">
        <v>170</v>
      </c>
      <c r="Q184" s="7">
        <f t="shared" si="9"/>
        <v>28</v>
      </c>
      <c r="R184" s="7">
        <f t="shared" si="23"/>
        <v>2</v>
      </c>
      <c r="S184" s="10" cm="1">
        <f t="array" ref="S184">INDEX('eP-ConceptMap'!$I$15:$N$272,Q184+1,R184)</f>
        <v>0</v>
      </c>
    </row>
    <row r="185" spans="16:19" x14ac:dyDescent="0.75">
      <c r="P185" s="7">
        <v>171</v>
      </c>
      <c r="Q185" s="7">
        <f t="shared" si="9"/>
        <v>28</v>
      </c>
      <c r="R185" s="7">
        <f t="shared" si="23"/>
        <v>3</v>
      </c>
      <c r="S185" s="10" cm="1">
        <f t="array" ref="S185">INDEX('eP-ConceptMap'!$I$15:$N$272,Q185+1,R185)</f>
        <v>0</v>
      </c>
    </row>
    <row r="186" spans="16:19" x14ac:dyDescent="0.75">
      <c r="P186" s="7">
        <v>172</v>
      </c>
      <c r="Q186" s="7">
        <f t="shared" si="9"/>
        <v>28</v>
      </c>
      <c r="R186" s="7">
        <f t="shared" si="23"/>
        <v>4</v>
      </c>
      <c r="S186" s="10" cm="1">
        <f t="array" ref="S186">INDEX('eP-ConceptMap'!$I$15:$N$272,Q186+1,R186)</f>
        <v>0</v>
      </c>
    </row>
    <row r="187" spans="16:19" x14ac:dyDescent="0.75">
      <c r="P187" s="7">
        <v>173</v>
      </c>
      <c r="Q187" s="7">
        <f t="shared" si="9"/>
        <v>28</v>
      </c>
      <c r="R187" s="7">
        <f t="shared" si="23"/>
        <v>5</v>
      </c>
      <c r="S187" s="10" cm="1">
        <f t="array" ref="S187">INDEX('eP-ConceptMap'!$I$15:$N$272,Q187+1,R187)</f>
        <v>0</v>
      </c>
    </row>
    <row r="188" spans="16:19" x14ac:dyDescent="0.75">
      <c r="P188" s="7">
        <v>174</v>
      </c>
      <c r="Q188" s="7">
        <f t="shared" si="9"/>
        <v>28</v>
      </c>
      <c r="R188" s="7">
        <f t="shared" si="23"/>
        <v>6</v>
      </c>
      <c r="S188" s="10" cm="1">
        <f t="array" ref="S188">INDEX('eP-ConceptMap'!$I$15:$N$272,Q188+1,R188)</f>
        <v>0</v>
      </c>
    </row>
    <row r="189" spans="16:19" x14ac:dyDescent="0.75">
      <c r="P189" s="7">
        <v>175</v>
      </c>
      <c r="Q189" s="7">
        <f t="shared" si="9"/>
        <v>29</v>
      </c>
      <c r="R189" s="7">
        <f t="shared" si="23"/>
        <v>1</v>
      </c>
      <c r="S189" s="10" cm="1">
        <f t="array" ref="S189">INDEX('eP-ConceptMap'!$I$15:$N$272,Q189+1,R189)</f>
        <v>0</v>
      </c>
    </row>
    <row r="190" spans="16:19" x14ac:dyDescent="0.75">
      <c r="P190" s="7">
        <v>176</v>
      </c>
      <c r="Q190" s="7">
        <f t="shared" si="9"/>
        <v>29</v>
      </c>
      <c r="R190" s="7">
        <f t="shared" si="23"/>
        <v>2</v>
      </c>
      <c r="S190" s="10" cm="1">
        <f t="array" ref="S190">INDEX('eP-ConceptMap'!$I$15:$N$272,Q190+1,R190)</f>
        <v>0</v>
      </c>
    </row>
    <row r="191" spans="16:19" x14ac:dyDescent="0.75">
      <c r="P191" s="7">
        <v>177</v>
      </c>
      <c r="Q191" s="7">
        <f t="shared" si="9"/>
        <v>29</v>
      </c>
      <c r="R191" s="7">
        <f t="shared" si="23"/>
        <v>3</v>
      </c>
      <c r="S191" s="10" cm="1">
        <f t="array" ref="S191">INDEX('eP-ConceptMap'!$I$15:$N$272,Q191+1,R191)</f>
        <v>0</v>
      </c>
    </row>
    <row r="192" spans="16:19" x14ac:dyDescent="0.75">
      <c r="P192" s="7">
        <v>178</v>
      </c>
      <c r="Q192" s="7">
        <f t="shared" si="9"/>
        <v>29</v>
      </c>
      <c r="R192" s="7">
        <f t="shared" si="23"/>
        <v>4</v>
      </c>
      <c r="S192" s="10" cm="1">
        <f t="array" ref="S192">INDEX('eP-ConceptMap'!$I$15:$N$272,Q192+1,R192)</f>
        <v>0</v>
      </c>
    </row>
  </sheetData>
  <mergeCells count="4">
    <mergeCell ref="E3:G3"/>
    <mergeCell ref="E4:G4"/>
    <mergeCell ref="E6:G6"/>
    <mergeCell ref="E7:G7"/>
  </mergeCells>
  <hyperlinks>
    <hyperlink ref="E4" r:id="rId1" display="http://hl7.eu/fhir/ig/xpandh-mpd/StructureDefinition/MedicationRequest-eu-xpandh" xr:uid="{0CA9D4FA-6C94-4DE0-8C20-939190A6C9D3}"/>
    <hyperlink ref="E7" r:id="rId2" display="http://hl7.eu/fhir/laboratory/StructureDefinition/Patient-eu-lab" xr:uid="{290EEE87-67BC-48E6-B673-C9EAD1E2C5CB}"/>
    <hyperlink ref="C1" r:id="rId3" xr:uid="{819263AF-CD0E-43F4-8A61-BFE239CAE3E0}"/>
    <hyperlink ref="C6" r:id="rId4" xr:uid="{E6BB7572-6C6D-4548-B2B0-5671FDDF42F0}"/>
  </hyperlink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D268D-E4DB-405D-A980-F568E2C55273}">
  <sheetPr codeName="Foglio71">
    <tabColor theme="0" tint="-0.499984740745262"/>
  </sheetPr>
  <dimension ref="A1:S170"/>
  <sheetViews>
    <sheetView topLeftCell="C1" zoomScale="85" zoomScaleNormal="85" workbookViewId="0">
      <selection activeCell="D31" sqref="D3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44.22656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488</v>
      </c>
      <c r="D3" s="46" t="s">
        <v>316</v>
      </c>
      <c r="E3" s="94" t="str">
        <f>C1&amp;eP!B5</f>
        <v>http://hl7.eu/fhir/ig/xpandh-mpd/StructureDefinition/Prescription</v>
      </c>
      <c r="F3" s="94"/>
      <c r="G3" s="94"/>
    </row>
    <row r="4" spans="1:19" x14ac:dyDescent="0.75">
      <c r="B4" s="46" t="s">
        <v>17</v>
      </c>
      <c r="C4" s="37" t="s">
        <v>517</v>
      </c>
      <c r="D4" s="46" t="s">
        <v>317</v>
      </c>
      <c r="E4" s="95" t="s">
        <v>639</v>
      </c>
      <c r="F4" s="94"/>
      <c r="G4" s="94"/>
    </row>
    <row r="5" spans="1:19" x14ac:dyDescent="0.75">
      <c r="B5" s="46" t="s">
        <v>13</v>
      </c>
      <c r="C5" s="8" t="s">
        <v>327</v>
      </c>
      <c r="D5" s="46"/>
      <c r="E5" s="8"/>
    </row>
    <row r="6" spans="1:19" x14ac:dyDescent="0.75">
      <c r="B6" s="46" t="s">
        <v>19</v>
      </c>
      <c r="C6" s="45" t="s">
        <v>310</v>
      </c>
      <c r="D6" s="46" t="s">
        <v>314</v>
      </c>
      <c r="E6" s="94" t="str">
        <f>E3</f>
        <v>http://hl7.eu/fhir/ig/xpandh-mpd/StructureDefinition/Prescription</v>
      </c>
      <c r="F6" s="94"/>
      <c r="G6" s="94"/>
    </row>
    <row r="7" spans="1:19" x14ac:dyDescent="0.75">
      <c r="B7" s="46" t="s">
        <v>16</v>
      </c>
      <c r="C7" s="53" t="s">
        <v>313</v>
      </c>
      <c r="D7" s="46" t="s">
        <v>315</v>
      </c>
      <c r="E7" s="95" t="str">
        <f>E4</f>
        <v>http://hl7.eu/fhir/ig/xpandh-mpd/StructureDefinition/Practitioner-eu-xpandh</v>
      </c>
      <c r="F7" s="94"/>
      <c r="G7" s="94"/>
    </row>
    <row r="8" spans="1:19" ht="44.25" x14ac:dyDescent="0.75">
      <c r="B8" s="46" t="s">
        <v>311</v>
      </c>
      <c r="C8" s="8" t="s">
        <v>489</v>
      </c>
      <c r="D8" s="46"/>
      <c r="E8"/>
      <c r="I8" s="10" t="s">
        <v>290</v>
      </c>
      <c r="J8" s="10" t="s">
        <v>291</v>
      </c>
      <c r="K8" s="10" t="s">
        <v>292</v>
      </c>
      <c r="L8" s="10" t="s">
        <v>293</v>
      </c>
      <c r="M8" s="7" t="s">
        <v>294</v>
      </c>
      <c r="P8" s="42" t="s">
        <v>295</v>
      </c>
      <c r="Q8" s="42">
        <v>6</v>
      </c>
    </row>
    <row r="9" spans="1:19" ht="29.5" x14ac:dyDescent="0.75">
      <c r="B9" s="46" t="s">
        <v>312</v>
      </c>
      <c r="C9" s="1" t="s">
        <v>490</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eP!B5&amp;".prescriber"</f>
        <v>Prescription.prescriber</v>
      </c>
      <c r="C14" s="7"/>
      <c r="D14" s="4" t="s">
        <v>640</v>
      </c>
      <c r="E14" s="6"/>
      <c r="F14" s="7"/>
      <c r="G14" s="7"/>
      <c r="I14" s="10"/>
      <c r="J14" s="7"/>
      <c r="K14" s="7"/>
      <c r="L14" s="7"/>
      <c r="M14" s="44"/>
      <c r="N14" s="47"/>
    </row>
    <row r="15" spans="1:19" ht="44.25" x14ac:dyDescent="0.75">
      <c r="A15" s="17"/>
      <c r="B15" s="40" t="s">
        <v>358</v>
      </c>
      <c r="C15" s="7" t="str">
        <f>eP!C13</f>
        <v>A.1.3.1 Familyname</v>
      </c>
      <c r="D15" s="7" t="s">
        <v>321</v>
      </c>
      <c r="E15" s="7"/>
      <c r="F15" s="48" t="s">
        <v>301</v>
      </c>
      <c r="G15" s="48"/>
      <c r="H15" s="49"/>
      <c r="I15" s="10" t="str">
        <f>"* group[=].element[+].code = #"&amp;$B$14&amp;"."&amp;B15</f>
        <v>* group[=].element[+].code = #Prescription.prescriber.familyName</v>
      </c>
      <c r="J15" s="10" t="str">
        <f t="shared" ref="J15:J16" si="0">"* group[=].element[=].display = ##34#"&amp;C15&amp;"##34#"</f>
        <v>* group[=].element[=].display = ##34#A.1.3.1 Familyname##34#</v>
      </c>
      <c r="K15" s="10" t="str">
        <f>IF(F15="unmatched","//-- unmatched",IF(D15="","* group[=].element[=].target.code = #"&amp;$D$14,"* group[=].element[=].target.code = #"&amp;$D$14&amp;"."&amp;D15))</f>
        <v>* group[=].element[=].target.code = #Practitioner.name.given</v>
      </c>
      <c r="L15" s="10" t="str">
        <f t="shared" ref="L15:L16" si="1">IF(F15="unmatched","//-- unmatched","* group[=].element[=].target.display = ##34#"&amp;E15&amp;"##34#")</f>
        <v>* group[=].element[=].target.display = ##34###34#</v>
      </c>
      <c r="M15" s="10" t="str">
        <f t="shared" ref="M15:M16" si="2">"* group[=].element[=].target.equivalence = #"&amp;F15</f>
        <v>* group[=].element[=].target.equivalence = #equivalent</v>
      </c>
      <c r="N15" s="4" t="str">
        <f t="shared" ref="N15:N16" si="3">IF(G15&lt;&gt;"",CONCATENATE("* group[=].element[=].target.comment = ","##34#",G15,"##34#"),"")</f>
        <v/>
      </c>
      <c r="P15" s="7">
        <v>1</v>
      </c>
      <c r="Q15" s="7">
        <f t="shared" ref="Q15:Q16" si="4">IF(MOD(P15,$Q$8)=0,P15/$Q$8-1,INT(P15/$Q$8))</f>
        <v>0</v>
      </c>
      <c r="R15" s="7">
        <f t="shared" ref="R15:R16" si="5">IF(MOD(P15,$Q$8)=0,$Q$8,MOD(P15,$Q$8))</f>
        <v>1</v>
      </c>
      <c r="S15" s="10" t="str" cm="1">
        <f t="array" ref="S15">INDEX('eP-ConceptMap-2'!$I$15:$N$250,Q15+1,R15)</f>
        <v>* group[=].element[+].code = #Prescription.prescriber.familyName</v>
      </c>
    </row>
    <row r="16" spans="1:19" ht="44.25" x14ac:dyDescent="0.75">
      <c r="A16" s="17"/>
      <c r="B16" s="40" t="s">
        <v>359</v>
      </c>
      <c r="C16" s="7" t="str">
        <f>eP!C14</f>
        <v>A.1.3.2 Given name</v>
      </c>
      <c r="D16" s="7" t="s">
        <v>320</v>
      </c>
      <c r="E16" s="7"/>
      <c r="F16" s="48" t="s">
        <v>301</v>
      </c>
      <c r="G16" s="48"/>
      <c r="H16" s="49"/>
      <c r="I16" s="10" t="str">
        <f t="shared" ref="I16" si="6">"* group[=].element[+].code = #"&amp;$B$14&amp;"."&amp;B16</f>
        <v>* group[=].element[+].code = #Prescription.prescriber.givenName</v>
      </c>
      <c r="J16" s="10" t="str">
        <f t="shared" si="0"/>
        <v>* group[=].element[=].display = ##34#A.1.3.2 Given name##34#</v>
      </c>
      <c r="K16" s="10" t="str">
        <f t="shared" ref="K16" si="7">IF(F16="unmatched","//-- unmatched",IF(D16="","* group[=].element[=].target.code = #"&amp;$D$14,"* group[=].element[=].target.code = #"&amp;$D$14&amp;"."&amp;D16))</f>
        <v>* group[=].element[=].target.code = #Practitioner.name.family</v>
      </c>
      <c r="L16" s="10" t="str">
        <f t="shared" si="1"/>
        <v>* group[=].element[=].target.display = ##34###34#</v>
      </c>
      <c r="M16" s="10" t="str">
        <f t="shared" si="2"/>
        <v>* group[=].element[=].target.equivalence = #equivalent</v>
      </c>
      <c r="N16" s="10" t="str">
        <f t="shared" si="3"/>
        <v/>
      </c>
      <c r="P16" s="7">
        <v>2</v>
      </c>
      <c r="Q16" s="7">
        <f t="shared" si="4"/>
        <v>0</v>
      </c>
      <c r="R16" s="7">
        <f t="shared" si="5"/>
        <v>2</v>
      </c>
      <c r="S16" s="10" t="str" cm="1">
        <f t="array" ref="S16">INDEX('eP-ConceptMap-2'!$I$15:$N$250,Q16+1,R16)</f>
        <v>* group[=].element[=].display = ##34#A.1.3.1 Familyname##34#</v>
      </c>
    </row>
    <row r="17" spans="1:19" ht="44.25" x14ac:dyDescent="0.75">
      <c r="A17" s="17"/>
      <c r="B17" s="40" t="s">
        <v>512</v>
      </c>
      <c r="C17" s="7" t="str">
        <f>eP!C15</f>
        <v>A.1.3.3 Professional qualifications</v>
      </c>
      <c r="D17" s="7" t="s">
        <v>512</v>
      </c>
      <c r="E17" s="7"/>
      <c r="F17" s="48" t="s">
        <v>301</v>
      </c>
      <c r="G17" s="48"/>
      <c r="H17" s="49"/>
      <c r="I17" s="10" t="str">
        <f t="shared" ref="I17:I20" si="8">"* group[=].element[+].code = #"&amp;$B$14&amp;"."&amp;B17</f>
        <v>* group[=].element[+].code = #Prescription.prescriber.qualification</v>
      </c>
      <c r="J17" s="10" t="str">
        <f t="shared" ref="J17:J20" si="9">"* group[=].element[=].display = ##34#"&amp;C17&amp;"##34#"</f>
        <v>* group[=].element[=].display = ##34#A.1.3.3 Professional qualifications##34#</v>
      </c>
      <c r="K17" s="10" t="str">
        <f t="shared" ref="K17:K20" si="10">IF(F17="unmatched","//-- unmatched",IF(D17="","* group[=].element[=].target.code = #"&amp;$D$14,"* group[=].element[=].target.code = #"&amp;$D$14&amp;"."&amp;D17))</f>
        <v>* group[=].element[=].target.code = #Practitioner.qualification</v>
      </c>
      <c r="L17" s="10" t="str">
        <f t="shared" ref="L17:L20" si="11">IF(F17="unmatched","//-- unmatched","* group[=].element[=].target.display = ##34#"&amp;E17&amp;"##34#")</f>
        <v>* group[=].element[=].target.display = ##34###34#</v>
      </c>
      <c r="M17" s="10" t="str">
        <f t="shared" ref="M17:M20" si="12">"* group[=].element[=].target.equivalence = #"&amp;F17</f>
        <v>* group[=].element[=].target.equivalence = #equivalent</v>
      </c>
      <c r="N17" s="10" t="str">
        <f t="shared" ref="N17:N20" si="13">IF(G17&lt;&gt;"",CONCATENATE("* group[=].element[=].target.comment = ","##34#",G17,"##34#"),"")</f>
        <v/>
      </c>
      <c r="P17" s="7">
        <v>3</v>
      </c>
      <c r="Q17" s="7">
        <f t="shared" ref="Q17:Q80" si="14">IF(MOD(P17,$Q$8)=0,P17/$Q$8-1,INT(P17/$Q$8))</f>
        <v>0</v>
      </c>
      <c r="R17" s="7">
        <f t="shared" ref="R17:R80" si="15">IF(MOD(P17,$Q$8)=0,$Q$8,MOD(P17,$Q$8))</f>
        <v>3</v>
      </c>
      <c r="S17" s="10" t="str" cm="1">
        <f t="array" ref="S17">INDEX('eP-ConceptMap-2'!$I$15:$N$250,Q17+1,R17)</f>
        <v>* group[=].element[=].target.code = #Practitioner.name.given</v>
      </c>
    </row>
    <row r="18" spans="1:19" ht="44.25" x14ac:dyDescent="0.75">
      <c r="A18" s="17"/>
      <c r="B18" s="40" t="s">
        <v>513</v>
      </c>
      <c r="C18" s="7" t="str">
        <f>eP!C16</f>
        <v>A.1.3.4 Details for direct contact</v>
      </c>
      <c r="D18" s="7" t="s">
        <v>325</v>
      </c>
      <c r="E18" s="10"/>
      <c r="F18" s="48" t="s">
        <v>301</v>
      </c>
      <c r="G18" s="48"/>
      <c r="H18" s="49"/>
      <c r="I18" s="10" t="str">
        <f t="shared" si="8"/>
        <v>* group[=].element[+].code = #Prescription.prescriber.contact</v>
      </c>
      <c r="J18" s="10" t="str">
        <f t="shared" si="9"/>
        <v>* group[=].element[=].display = ##34#A.1.3.4 Details for direct contact##34#</v>
      </c>
      <c r="K18" s="10" t="str">
        <f t="shared" si="10"/>
        <v>* group[=].element[=].target.code = #Practitioner.telecom</v>
      </c>
      <c r="L18" s="10" t="str">
        <f t="shared" si="11"/>
        <v>* group[=].element[=].target.display = ##34###34#</v>
      </c>
      <c r="M18" s="10" t="str">
        <f t="shared" si="12"/>
        <v>* group[=].element[=].target.equivalence = #equivalent</v>
      </c>
      <c r="N18" s="10" t="str">
        <f t="shared" si="13"/>
        <v/>
      </c>
      <c r="P18" s="7">
        <v>4</v>
      </c>
      <c r="Q18" s="7">
        <f t="shared" si="14"/>
        <v>0</v>
      </c>
      <c r="R18" s="7">
        <f t="shared" si="15"/>
        <v>4</v>
      </c>
      <c r="S18" s="10" t="str" cm="1">
        <f t="array" ref="S18">INDEX('eP-ConceptMap-2'!$I$15:$N$250,Q18+1,R18)</f>
        <v>* group[=].element[=].target.display = ##34###34#</v>
      </c>
    </row>
    <row r="19" spans="1:19" ht="59" x14ac:dyDescent="0.75">
      <c r="A19" s="17"/>
      <c r="B19" s="40" t="s">
        <v>514</v>
      </c>
      <c r="C19" s="7" t="str">
        <f>eP!C17</f>
        <v>A.1.3.5 Work address</v>
      </c>
      <c r="D19" s="7" t="s">
        <v>324</v>
      </c>
      <c r="E19" s="10"/>
      <c r="F19" s="48" t="s">
        <v>301</v>
      </c>
      <c r="G19" s="48" t="s">
        <v>515</v>
      </c>
      <c r="H19" s="49"/>
      <c r="I19" s="10" t="str">
        <f t="shared" si="8"/>
        <v>* group[=].element[+].code = #Prescription.prescriber.workAddress</v>
      </c>
      <c r="J19" s="10" t="str">
        <f t="shared" si="9"/>
        <v>* group[=].element[=].display = ##34#A.1.3.5 Work address##34#</v>
      </c>
      <c r="K19" s="10" t="str">
        <f t="shared" si="10"/>
        <v>* group[=].element[=].target.code = #Practitioner.address</v>
      </c>
      <c r="L19" s="10" t="str">
        <f t="shared" si="11"/>
        <v>* group[=].element[=].target.display = ##34###34#</v>
      </c>
      <c r="M19" s="10" t="str">
        <f t="shared" si="12"/>
        <v>* group[=].element[=].target.equivalence = #equivalent</v>
      </c>
      <c r="N19" s="10" t="str">
        <f t="shared" si="13"/>
        <v>* group[=].element[=].target.comment = ##34#where use = 'work'##34#</v>
      </c>
      <c r="P19" s="7">
        <v>5</v>
      </c>
      <c r="Q19" s="7">
        <f t="shared" si="14"/>
        <v>0</v>
      </c>
      <c r="R19" s="7">
        <f t="shared" si="15"/>
        <v>5</v>
      </c>
      <c r="S19" s="10" t="str" cm="1">
        <f t="array" ref="S19">INDEX('eP-ConceptMap-2'!$I$15:$N$250,Q19+1,R19)</f>
        <v>* group[=].element[=].target.equivalence = #equivalent</v>
      </c>
    </row>
    <row r="20" spans="1:19" ht="44.25" x14ac:dyDescent="0.75">
      <c r="B20" s="40" t="s">
        <v>272</v>
      </c>
      <c r="C20" s="7" t="str">
        <f>eP!C19</f>
        <v>A.1.3.7  Health care provider identifier</v>
      </c>
      <c r="D20" s="7" t="s">
        <v>272</v>
      </c>
      <c r="E20" s="10"/>
      <c r="F20" s="48" t="s">
        <v>302</v>
      </c>
      <c r="G20" s="48"/>
      <c r="H20" s="49"/>
      <c r="I20" s="10" t="str">
        <f t="shared" si="8"/>
        <v>* group[=].element[+].code = #Prescription.prescriber.identifier</v>
      </c>
      <c r="J20" s="10" t="str">
        <f t="shared" si="9"/>
        <v>* group[=].element[=].display = ##34#A.1.3.7  Health care provider identifier##34#</v>
      </c>
      <c r="K20" s="10" t="str">
        <f t="shared" si="10"/>
        <v>* group[=].element[=].target.code = #Practitioner.identifier</v>
      </c>
      <c r="L20" s="10" t="str">
        <f t="shared" si="11"/>
        <v>* group[=].element[=].target.display = ##34###34#</v>
      </c>
      <c r="M20" s="10" t="str">
        <f t="shared" si="12"/>
        <v>* group[=].element[=].target.equivalence = #relatedto</v>
      </c>
      <c r="N20" s="10" t="str">
        <f t="shared" si="13"/>
        <v/>
      </c>
      <c r="P20" s="7">
        <v>6</v>
      </c>
      <c r="Q20" s="7">
        <f t="shared" si="14"/>
        <v>0</v>
      </c>
      <c r="R20" s="7">
        <f t="shared" si="15"/>
        <v>6</v>
      </c>
      <c r="S20" s="10" t="str" cm="1">
        <f t="array" ref="S20">INDEX('eP-ConceptMap-2'!$I$15:$N$250,Q20+1,R20)</f>
        <v/>
      </c>
    </row>
    <row r="21" spans="1:19" s="1" customFormat="1" x14ac:dyDescent="0.75">
      <c r="A21"/>
      <c r="B21" s="7"/>
      <c r="C21" s="7"/>
      <c r="D21" s="10"/>
      <c r="E21" s="10"/>
      <c r="F21" s="48"/>
      <c r="G21" s="48"/>
      <c r="H21" s="49"/>
      <c r="I21" s="10"/>
      <c r="J21" s="10"/>
      <c r="K21" s="10"/>
      <c r="L21" s="10"/>
      <c r="M21" s="10"/>
      <c r="N21" s="10"/>
      <c r="P21" s="7">
        <v>7</v>
      </c>
      <c r="Q21" s="7">
        <f t="shared" si="14"/>
        <v>1</v>
      </c>
      <c r="R21" s="7">
        <f t="shared" si="15"/>
        <v>1</v>
      </c>
      <c r="S21" s="10" t="str" cm="1">
        <f t="array" ref="S21">INDEX('eP-ConceptMap-2'!$I$15:$N$250,Q21+1,R21)</f>
        <v>* group[=].element[+].code = #Prescription.prescriber.givenName</v>
      </c>
    </row>
    <row r="22" spans="1:19" s="1" customFormat="1" x14ac:dyDescent="0.75">
      <c r="A22"/>
      <c r="B22" s="7"/>
      <c r="C22" s="7"/>
      <c r="D22" s="10"/>
      <c r="E22" s="10"/>
      <c r="F22" s="48"/>
      <c r="G22" s="48"/>
      <c r="H22" s="49"/>
      <c r="I22" s="10"/>
      <c r="J22" s="10"/>
      <c r="K22" s="10"/>
      <c r="L22" s="10"/>
      <c r="M22" s="10"/>
      <c r="N22" s="10"/>
      <c r="P22" s="7">
        <v>8</v>
      </c>
      <c r="Q22" s="7">
        <f t="shared" si="14"/>
        <v>1</v>
      </c>
      <c r="R22" s="7">
        <f t="shared" si="15"/>
        <v>2</v>
      </c>
      <c r="S22" s="10" t="str" cm="1">
        <f t="array" ref="S22">INDEX('eP-ConceptMap-2'!$I$15:$N$250,Q22+1,R22)</f>
        <v>* group[=].element[=].display = ##34#A.1.3.2 Given name##34#</v>
      </c>
    </row>
    <row r="23" spans="1:19" s="1" customFormat="1" x14ac:dyDescent="0.75">
      <c r="A23"/>
      <c r="B23" s="7"/>
      <c r="C23" s="7"/>
      <c r="D23" s="10"/>
      <c r="E23" s="10"/>
      <c r="F23" s="48"/>
      <c r="G23" s="48"/>
      <c r="H23" s="49"/>
      <c r="I23" s="10"/>
      <c r="J23" s="10"/>
      <c r="K23" s="10"/>
      <c r="L23" s="10"/>
      <c r="M23" s="10"/>
      <c r="N23" s="10"/>
      <c r="P23" s="7">
        <v>9</v>
      </c>
      <c r="Q23" s="7">
        <f t="shared" si="14"/>
        <v>1</v>
      </c>
      <c r="R23" s="7">
        <f t="shared" si="15"/>
        <v>3</v>
      </c>
      <c r="S23" s="10" t="str" cm="1">
        <f t="array" ref="S23">INDEX('eP-ConceptMap-2'!$I$15:$N$250,Q23+1,R23)</f>
        <v>* group[=].element[=].target.code = #Practitioner.name.family</v>
      </c>
    </row>
    <row r="24" spans="1:19" s="1" customFormat="1" x14ac:dyDescent="0.75">
      <c r="A24"/>
      <c r="B24" s="7"/>
      <c r="C24" s="7"/>
      <c r="D24" s="10"/>
      <c r="E24" s="10"/>
      <c r="F24" s="48"/>
      <c r="G24" s="48"/>
      <c r="H24" s="49"/>
      <c r="I24" s="10"/>
      <c r="J24" s="10"/>
      <c r="K24" s="10"/>
      <c r="L24" s="10"/>
      <c r="M24" s="10"/>
      <c r="N24" s="10"/>
      <c r="P24" s="7">
        <v>10</v>
      </c>
      <c r="Q24" s="7">
        <f t="shared" si="14"/>
        <v>1</v>
      </c>
      <c r="R24" s="7">
        <f t="shared" si="15"/>
        <v>4</v>
      </c>
      <c r="S24" s="10" t="str" cm="1">
        <f t="array" ref="S24">INDEX('eP-ConceptMap-2'!$I$15:$N$250,Q24+1,R24)</f>
        <v>* group[=].element[=].target.display = ##34###34#</v>
      </c>
    </row>
    <row r="25" spans="1:19" s="1" customFormat="1" x14ac:dyDescent="0.75">
      <c r="A25"/>
      <c r="B25" s="7"/>
      <c r="C25" s="7"/>
      <c r="F25" s="49"/>
      <c r="G25" s="49"/>
      <c r="H25" s="49"/>
      <c r="J25" s="49"/>
      <c r="K25" s="49"/>
      <c r="L25" s="49"/>
      <c r="M25" s="49"/>
      <c r="N25" s="49"/>
      <c r="P25" s="7">
        <v>11</v>
      </c>
      <c r="Q25" s="7">
        <f t="shared" si="14"/>
        <v>1</v>
      </c>
      <c r="R25" s="7">
        <f t="shared" si="15"/>
        <v>5</v>
      </c>
      <c r="S25" s="10" t="str" cm="1">
        <f t="array" ref="S25">INDEX('eP-ConceptMap-2'!$I$15:$N$250,Q25+1,R25)</f>
        <v>* group[=].element[=].target.equivalence = #equivalent</v>
      </c>
    </row>
    <row r="26" spans="1:19" s="1" customFormat="1" x14ac:dyDescent="0.75">
      <c r="A26"/>
      <c r="B26" s="7"/>
      <c r="C26" s="7"/>
      <c r="F26" s="49"/>
      <c r="G26" s="49"/>
      <c r="H26" s="49"/>
      <c r="J26" s="49"/>
      <c r="K26" s="49"/>
      <c r="L26" s="49"/>
      <c r="M26" s="49"/>
      <c r="N26" s="49"/>
      <c r="P26" s="7">
        <v>12</v>
      </c>
      <c r="Q26" s="7">
        <f t="shared" si="14"/>
        <v>1</v>
      </c>
      <c r="R26" s="7">
        <f t="shared" si="15"/>
        <v>6</v>
      </c>
      <c r="S26" s="10" t="str" cm="1">
        <f t="array" ref="S26">INDEX('eP-ConceptMap-2'!$I$15:$N$250,Q26+1,R26)</f>
        <v/>
      </c>
    </row>
    <row r="27" spans="1:19" s="1" customFormat="1" x14ac:dyDescent="0.75">
      <c r="A27"/>
      <c r="B27" s="7"/>
      <c r="C27" s="7"/>
      <c r="F27" s="49"/>
      <c r="G27" s="49"/>
      <c r="H27" s="49"/>
      <c r="J27" s="49"/>
      <c r="K27" s="49"/>
      <c r="L27" s="49"/>
      <c r="M27" s="49"/>
      <c r="N27" s="49"/>
      <c r="P27" s="7">
        <v>13</v>
      </c>
      <c r="Q27" s="7">
        <f t="shared" si="14"/>
        <v>2</v>
      </c>
      <c r="R27" s="7">
        <f t="shared" si="15"/>
        <v>1</v>
      </c>
      <c r="S27" s="10" t="str" cm="1">
        <f t="array" ref="S27">INDEX('eP-ConceptMap-2'!$I$15:$N$250,Q27+1,R27)</f>
        <v>* group[=].element[+].code = #Prescription.prescriber.qualification</v>
      </c>
    </row>
    <row r="28" spans="1:19" s="1" customFormat="1" x14ac:dyDescent="0.75">
      <c r="A28"/>
      <c r="B28" s="7"/>
      <c r="C28"/>
      <c r="F28" s="49"/>
      <c r="G28" s="49"/>
      <c r="H28" s="49"/>
      <c r="J28" s="49"/>
      <c r="K28" s="49"/>
      <c r="L28" s="49"/>
      <c r="M28" s="49"/>
      <c r="N28" s="49"/>
      <c r="P28" s="7">
        <v>14</v>
      </c>
      <c r="Q28" s="7">
        <f t="shared" si="14"/>
        <v>2</v>
      </c>
      <c r="R28" s="7">
        <f t="shared" si="15"/>
        <v>2</v>
      </c>
      <c r="S28" s="10" t="str" cm="1">
        <f t="array" ref="S28">INDEX('eP-ConceptMap-2'!$I$15:$N$250,Q28+1,R28)</f>
        <v>* group[=].element[=].display = ##34#A.1.3.3 Professional qualifications##34#</v>
      </c>
    </row>
    <row r="29" spans="1:19" x14ac:dyDescent="0.75">
      <c r="F29" s="49"/>
      <c r="G29" s="49"/>
      <c r="H29" s="49"/>
      <c r="J29" s="49"/>
      <c r="K29" s="49"/>
      <c r="L29" s="49"/>
      <c r="M29" s="49"/>
      <c r="N29" s="49"/>
      <c r="P29" s="7">
        <v>15</v>
      </c>
      <c r="Q29" s="7">
        <f t="shared" si="14"/>
        <v>2</v>
      </c>
      <c r="R29" s="7">
        <f t="shared" si="15"/>
        <v>3</v>
      </c>
      <c r="S29" s="10" t="str" cm="1">
        <f t="array" ref="S29">INDEX('eP-ConceptMap-2'!$I$15:$N$250,Q29+1,R29)</f>
        <v>* group[=].element[=].target.code = #Practitioner.qualification</v>
      </c>
    </row>
    <row r="30" spans="1:19" x14ac:dyDescent="0.75">
      <c r="F30" s="49"/>
      <c r="G30" s="49"/>
      <c r="H30" s="49"/>
      <c r="J30" s="49"/>
      <c r="K30" s="49"/>
      <c r="L30" s="49"/>
      <c r="M30" s="49"/>
      <c r="N30" s="49"/>
      <c r="P30" s="7">
        <v>16</v>
      </c>
      <c r="Q30" s="7">
        <f t="shared" si="14"/>
        <v>2</v>
      </c>
      <c r="R30" s="7">
        <f t="shared" si="15"/>
        <v>4</v>
      </c>
      <c r="S30" s="10" t="str" cm="1">
        <f t="array" ref="S30">INDEX('eP-ConceptMap-2'!$I$15:$N$250,Q30+1,R30)</f>
        <v>* group[=].element[=].target.display = ##34###34#</v>
      </c>
    </row>
    <row r="31" spans="1:19" x14ac:dyDescent="0.75">
      <c r="F31" s="49"/>
      <c r="G31" s="49"/>
      <c r="H31" s="49"/>
      <c r="J31" s="49"/>
      <c r="K31" s="49"/>
      <c r="L31" s="49"/>
      <c r="M31" s="49"/>
      <c r="N31" s="49"/>
      <c r="P31" s="7">
        <v>17</v>
      </c>
      <c r="Q31" s="7">
        <f t="shared" si="14"/>
        <v>2</v>
      </c>
      <c r="R31" s="7">
        <f t="shared" si="15"/>
        <v>5</v>
      </c>
      <c r="S31" s="10" t="str" cm="1">
        <f t="array" ref="S31">INDEX('eP-ConceptMap-2'!$I$15:$N$250,Q31+1,R31)</f>
        <v>* group[=].element[=].target.equivalence = #equivalent</v>
      </c>
    </row>
    <row r="32" spans="1:19" x14ac:dyDescent="0.75">
      <c r="F32" s="49"/>
      <c r="G32" s="49"/>
      <c r="H32" s="49"/>
      <c r="J32" s="49"/>
      <c r="K32" s="49"/>
      <c r="L32" s="49"/>
      <c r="M32" s="49"/>
      <c r="N32" s="49"/>
      <c r="P32" s="7">
        <v>18</v>
      </c>
      <c r="Q32" s="7">
        <f t="shared" si="14"/>
        <v>2</v>
      </c>
      <c r="R32" s="7">
        <f t="shared" si="15"/>
        <v>6</v>
      </c>
      <c r="S32" s="10" t="str" cm="1">
        <f t="array" ref="S32">INDEX('eP-ConceptMap-2'!$I$15:$N$250,Q32+1,R32)</f>
        <v/>
      </c>
    </row>
    <row r="33" spans="5:19" x14ac:dyDescent="0.75">
      <c r="E33"/>
      <c r="P33" s="7">
        <v>19</v>
      </c>
      <c r="Q33" s="7">
        <f t="shared" si="14"/>
        <v>3</v>
      </c>
      <c r="R33" s="7">
        <f t="shared" si="15"/>
        <v>1</v>
      </c>
      <c r="S33" s="10" t="str" cm="1">
        <f t="array" ref="S33">INDEX('eP-ConceptMap-2'!$I$15:$N$250,Q33+1,R33)</f>
        <v>* group[=].element[+].code = #Prescription.prescriber.contact</v>
      </c>
    </row>
    <row r="34" spans="5:19" x14ac:dyDescent="0.75">
      <c r="P34" s="7">
        <v>20</v>
      </c>
      <c r="Q34" s="7">
        <f t="shared" si="14"/>
        <v>3</v>
      </c>
      <c r="R34" s="7">
        <f t="shared" si="15"/>
        <v>2</v>
      </c>
      <c r="S34" s="10" t="str" cm="1">
        <f t="array" ref="S34">INDEX('eP-ConceptMap-2'!$I$15:$N$250,Q34+1,R34)</f>
        <v>* group[=].element[=].display = ##34#A.1.3.4 Details for direct contact##34#</v>
      </c>
    </row>
    <row r="35" spans="5:19" x14ac:dyDescent="0.75">
      <c r="P35" s="7">
        <v>21</v>
      </c>
      <c r="Q35" s="7">
        <f t="shared" si="14"/>
        <v>3</v>
      </c>
      <c r="R35" s="7">
        <f t="shared" si="15"/>
        <v>3</v>
      </c>
      <c r="S35" s="10" t="str" cm="1">
        <f t="array" ref="S35">INDEX('eP-ConceptMap-2'!$I$15:$N$250,Q35+1,R35)</f>
        <v>* group[=].element[=].target.code = #Practitioner.telecom</v>
      </c>
    </row>
    <row r="36" spans="5:19" x14ac:dyDescent="0.75">
      <c r="P36" s="7">
        <v>22</v>
      </c>
      <c r="Q36" s="7">
        <f t="shared" si="14"/>
        <v>3</v>
      </c>
      <c r="R36" s="7">
        <f t="shared" si="15"/>
        <v>4</v>
      </c>
      <c r="S36" s="10" t="str" cm="1">
        <f t="array" ref="S36">INDEX('eP-ConceptMap-2'!$I$15:$N$250,Q36+1,R36)</f>
        <v>* group[=].element[=].target.display = ##34###34#</v>
      </c>
    </row>
    <row r="37" spans="5:19" x14ac:dyDescent="0.75">
      <c r="P37" s="7">
        <v>23</v>
      </c>
      <c r="Q37" s="7">
        <f t="shared" si="14"/>
        <v>3</v>
      </c>
      <c r="R37" s="7">
        <f t="shared" si="15"/>
        <v>5</v>
      </c>
      <c r="S37" s="10" t="str" cm="1">
        <f t="array" ref="S37">INDEX('eP-ConceptMap-2'!$I$15:$N$250,Q37+1,R37)</f>
        <v>* group[=].element[=].target.equivalence = #equivalent</v>
      </c>
    </row>
    <row r="38" spans="5:19" x14ac:dyDescent="0.75">
      <c r="P38" s="7">
        <v>24</v>
      </c>
      <c r="Q38" s="7">
        <f t="shared" si="14"/>
        <v>3</v>
      </c>
      <c r="R38" s="7">
        <f t="shared" si="15"/>
        <v>6</v>
      </c>
      <c r="S38" s="10" t="str" cm="1">
        <f t="array" ref="S38">INDEX('eP-ConceptMap-2'!$I$15:$N$250,Q38+1,R38)</f>
        <v/>
      </c>
    </row>
    <row r="39" spans="5:19" x14ac:dyDescent="0.75">
      <c r="P39" s="7">
        <v>25</v>
      </c>
      <c r="Q39" s="7">
        <f t="shared" si="14"/>
        <v>4</v>
      </c>
      <c r="R39" s="7">
        <f t="shared" si="15"/>
        <v>1</v>
      </c>
      <c r="S39" s="10" t="str" cm="1">
        <f t="array" ref="S39">INDEX('eP-ConceptMap-2'!$I$15:$N$250,Q39+1,R39)</f>
        <v>* group[=].element[+].code = #Prescription.prescriber.workAddress</v>
      </c>
    </row>
    <row r="40" spans="5:19" x14ac:dyDescent="0.75">
      <c r="P40" s="7">
        <v>26</v>
      </c>
      <c r="Q40" s="7">
        <f t="shared" si="14"/>
        <v>4</v>
      </c>
      <c r="R40" s="7">
        <f t="shared" si="15"/>
        <v>2</v>
      </c>
      <c r="S40" s="10" t="str" cm="1">
        <f t="array" ref="S40">INDEX('eP-ConceptMap-2'!$I$15:$N$250,Q40+1,R40)</f>
        <v>* group[=].element[=].display = ##34#A.1.3.5 Work address##34#</v>
      </c>
    </row>
    <row r="41" spans="5:19" x14ac:dyDescent="0.75">
      <c r="P41" s="7">
        <v>27</v>
      </c>
      <c r="Q41" s="7">
        <f t="shared" si="14"/>
        <v>4</v>
      </c>
      <c r="R41" s="7">
        <f t="shared" si="15"/>
        <v>3</v>
      </c>
      <c r="S41" s="10" t="str" cm="1">
        <f t="array" ref="S41">INDEX('eP-ConceptMap-2'!$I$15:$N$250,Q41+1,R41)</f>
        <v>* group[=].element[=].target.code = #Practitioner.address</v>
      </c>
    </row>
    <row r="42" spans="5:19" x14ac:dyDescent="0.75">
      <c r="P42" s="7">
        <v>28</v>
      </c>
      <c r="Q42" s="7">
        <f t="shared" si="14"/>
        <v>4</v>
      </c>
      <c r="R42" s="7">
        <f t="shared" si="15"/>
        <v>4</v>
      </c>
      <c r="S42" s="10" t="str" cm="1">
        <f t="array" ref="S42">INDEX('eP-ConceptMap-2'!$I$15:$N$250,Q42+1,R42)</f>
        <v>* group[=].element[=].target.display = ##34###34#</v>
      </c>
    </row>
    <row r="43" spans="5:19" x14ac:dyDescent="0.75">
      <c r="P43" s="7">
        <v>29</v>
      </c>
      <c r="Q43" s="7">
        <f t="shared" si="14"/>
        <v>4</v>
      </c>
      <c r="R43" s="7">
        <f t="shared" si="15"/>
        <v>5</v>
      </c>
      <c r="S43" s="10" t="str" cm="1">
        <f t="array" ref="S43">INDEX('eP-ConceptMap-2'!$I$15:$N$250,Q43+1,R43)</f>
        <v>* group[=].element[=].target.equivalence = #equivalent</v>
      </c>
    </row>
    <row r="44" spans="5:19" x14ac:dyDescent="0.75">
      <c r="P44" s="7">
        <v>30</v>
      </c>
      <c r="Q44" s="7">
        <f t="shared" si="14"/>
        <v>4</v>
      </c>
      <c r="R44" s="7">
        <f t="shared" si="15"/>
        <v>6</v>
      </c>
      <c r="S44" s="10" t="str" cm="1">
        <f t="array" ref="S44">INDEX('eP-ConceptMap-2'!$I$15:$N$250,Q44+1,R44)</f>
        <v>* group[=].element[=].target.comment = ##34#where use = 'work'##34#</v>
      </c>
    </row>
    <row r="45" spans="5:19" x14ac:dyDescent="0.75">
      <c r="P45" s="7">
        <v>31</v>
      </c>
      <c r="Q45" s="7">
        <f t="shared" si="14"/>
        <v>5</v>
      </c>
      <c r="R45" s="7">
        <f t="shared" si="15"/>
        <v>1</v>
      </c>
      <c r="S45" s="10" t="str" cm="1">
        <f t="array" ref="S45">INDEX('eP-ConceptMap-2'!$I$15:$N$250,Q45+1,R45)</f>
        <v>* group[=].element[+].code = #Prescription.prescriber.identifier</v>
      </c>
    </row>
    <row r="46" spans="5:19" x14ac:dyDescent="0.75">
      <c r="P46" s="7">
        <v>32</v>
      </c>
      <c r="Q46" s="7">
        <f t="shared" si="14"/>
        <v>5</v>
      </c>
      <c r="R46" s="7">
        <f t="shared" si="15"/>
        <v>2</v>
      </c>
      <c r="S46" s="10" t="str" cm="1">
        <f t="array" ref="S46">INDEX('eP-ConceptMap-2'!$I$15:$N$250,Q46+1,R46)</f>
        <v>* group[=].element[=].display = ##34#A.1.3.7  Health care provider identifier##34#</v>
      </c>
    </row>
    <row r="47" spans="5:19" x14ac:dyDescent="0.75">
      <c r="P47" s="7">
        <v>33</v>
      </c>
      <c r="Q47" s="7">
        <f t="shared" si="14"/>
        <v>5</v>
      </c>
      <c r="R47" s="7">
        <f t="shared" si="15"/>
        <v>3</v>
      </c>
      <c r="S47" s="10" t="str" cm="1">
        <f t="array" ref="S47">INDEX('eP-ConceptMap-2'!$I$15:$N$250,Q47+1,R47)</f>
        <v>* group[=].element[=].target.code = #Practitioner.identifier</v>
      </c>
    </row>
    <row r="48" spans="5:19" x14ac:dyDescent="0.75">
      <c r="P48" s="7">
        <v>34</v>
      </c>
      <c r="Q48" s="7">
        <f t="shared" si="14"/>
        <v>5</v>
      </c>
      <c r="R48" s="7">
        <f t="shared" si="15"/>
        <v>4</v>
      </c>
      <c r="S48" s="10" t="str" cm="1">
        <f t="array" ref="S48">INDEX('eP-ConceptMap-2'!$I$15:$N$250,Q48+1,R48)</f>
        <v>* group[=].element[=].target.display = ##34###34#</v>
      </c>
    </row>
    <row r="49" spans="16:19" x14ac:dyDescent="0.75">
      <c r="P49" s="7">
        <v>35</v>
      </c>
      <c r="Q49" s="7">
        <f t="shared" si="14"/>
        <v>5</v>
      </c>
      <c r="R49" s="7">
        <f t="shared" si="15"/>
        <v>5</v>
      </c>
      <c r="S49" s="10" t="str" cm="1">
        <f t="array" ref="S49">INDEX('eP-ConceptMap-2'!$I$15:$N$250,Q49+1,R49)</f>
        <v>* group[=].element[=].target.equivalence = #relatedto</v>
      </c>
    </row>
    <row r="50" spans="16:19" x14ac:dyDescent="0.75">
      <c r="P50" s="7">
        <v>36</v>
      </c>
      <c r="Q50" s="7">
        <f t="shared" si="14"/>
        <v>5</v>
      </c>
      <c r="R50" s="7">
        <f t="shared" si="15"/>
        <v>6</v>
      </c>
      <c r="S50" s="10" t="str" cm="1">
        <f t="array" ref="S50">INDEX('eP-ConceptMap-2'!$I$15:$N$250,Q50+1,R50)</f>
        <v/>
      </c>
    </row>
    <row r="51" spans="16:19" x14ac:dyDescent="0.75">
      <c r="P51" s="7">
        <v>37</v>
      </c>
      <c r="Q51" s="7">
        <f t="shared" si="14"/>
        <v>6</v>
      </c>
      <c r="R51" s="7">
        <f t="shared" si="15"/>
        <v>1</v>
      </c>
      <c r="S51" s="10" cm="1">
        <f t="array" ref="S51">INDEX('eP-ConceptMap-2'!$I$15:$N$250,Q51+1,R51)</f>
        <v>0</v>
      </c>
    </row>
    <row r="52" spans="16:19" x14ac:dyDescent="0.75">
      <c r="P52" s="7">
        <v>38</v>
      </c>
      <c r="Q52" s="7">
        <f t="shared" si="14"/>
        <v>6</v>
      </c>
      <c r="R52" s="7">
        <f t="shared" si="15"/>
        <v>2</v>
      </c>
      <c r="S52" s="10" cm="1">
        <f t="array" ref="S52">INDEX('eP-ConceptMap-2'!$I$15:$N$250,Q52+1,R52)</f>
        <v>0</v>
      </c>
    </row>
    <row r="53" spans="16:19" x14ac:dyDescent="0.75">
      <c r="P53" s="7">
        <v>39</v>
      </c>
      <c r="Q53" s="7">
        <f t="shared" si="14"/>
        <v>6</v>
      </c>
      <c r="R53" s="7">
        <f t="shared" si="15"/>
        <v>3</v>
      </c>
      <c r="S53" s="10" cm="1">
        <f t="array" ref="S53">INDEX('eP-ConceptMap-2'!$I$15:$N$250,Q53+1,R53)</f>
        <v>0</v>
      </c>
    </row>
    <row r="54" spans="16:19" x14ac:dyDescent="0.75">
      <c r="P54" s="7">
        <v>40</v>
      </c>
      <c r="Q54" s="7">
        <f t="shared" si="14"/>
        <v>6</v>
      </c>
      <c r="R54" s="7">
        <f t="shared" si="15"/>
        <v>4</v>
      </c>
      <c r="S54" s="10" cm="1">
        <f t="array" ref="S54">INDEX('eP-ConceptMap-2'!$I$15:$N$250,Q54+1,R54)</f>
        <v>0</v>
      </c>
    </row>
    <row r="55" spans="16:19" x14ac:dyDescent="0.75">
      <c r="P55" s="7">
        <v>41</v>
      </c>
      <c r="Q55" s="7">
        <f t="shared" si="14"/>
        <v>6</v>
      </c>
      <c r="R55" s="7">
        <f t="shared" si="15"/>
        <v>5</v>
      </c>
      <c r="S55" s="10" cm="1">
        <f t="array" ref="S55">INDEX('eP-ConceptMap-2'!$I$15:$N$250,Q55+1,R55)</f>
        <v>0</v>
      </c>
    </row>
    <row r="56" spans="16:19" x14ac:dyDescent="0.75">
      <c r="P56" s="7">
        <v>42</v>
      </c>
      <c r="Q56" s="7">
        <f t="shared" si="14"/>
        <v>6</v>
      </c>
      <c r="R56" s="7">
        <f t="shared" si="15"/>
        <v>6</v>
      </c>
      <c r="S56" s="10" cm="1">
        <f t="array" ref="S56">INDEX('eP-ConceptMap-2'!$I$15:$N$250,Q56+1,R56)</f>
        <v>0</v>
      </c>
    </row>
    <row r="57" spans="16:19" x14ac:dyDescent="0.75">
      <c r="P57" s="7">
        <v>43</v>
      </c>
      <c r="Q57" s="7">
        <f t="shared" si="14"/>
        <v>7</v>
      </c>
      <c r="R57" s="7">
        <f t="shared" si="15"/>
        <v>1</v>
      </c>
      <c r="S57" s="10" cm="1">
        <f t="array" ref="S57">INDEX('eP-ConceptMap-2'!$I$15:$N$250,Q57+1,R57)</f>
        <v>0</v>
      </c>
    </row>
    <row r="58" spans="16:19" x14ac:dyDescent="0.75">
      <c r="P58" s="7">
        <v>44</v>
      </c>
      <c r="Q58" s="7">
        <f t="shared" si="14"/>
        <v>7</v>
      </c>
      <c r="R58" s="7">
        <f t="shared" si="15"/>
        <v>2</v>
      </c>
      <c r="S58" s="10" cm="1">
        <f t="array" ref="S58">INDEX('eP-ConceptMap-2'!$I$15:$N$250,Q58+1,R58)</f>
        <v>0</v>
      </c>
    </row>
    <row r="59" spans="16:19" x14ac:dyDescent="0.75">
      <c r="P59" s="7">
        <v>45</v>
      </c>
      <c r="Q59" s="7">
        <f t="shared" si="14"/>
        <v>7</v>
      </c>
      <c r="R59" s="7">
        <f t="shared" si="15"/>
        <v>3</v>
      </c>
      <c r="S59" s="10" cm="1">
        <f t="array" ref="S59">INDEX('eP-ConceptMap-2'!$I$15:$N$250,Q59+1,R59)</f>
        <v>0</v>
      </c>
    </row>
    <row r="60" spans="16:19" x14ac:dyDescent="0.75">
      <c r="P60" s="7">
        <v>46</v>
      </c>
      <c r="Q60" s="7">
        <f t="shared" si="14"/>
        <v>7</v>
      </c>
      <c r="R60" s="7">
        <f t="shared" si="15"/>
        <v>4</v>
      </c>
      <c r="S60" s="10" cm="1">
        <f t="array" ref="S60">INDEX('eP-ConceptMap-2'!$I$15:$N$250,Q60+1,R60)</f>
        <v>0</v>
      </c>
    </row>
    <row r="61" spans="16:19" x14ac:dyDescent="0.75">
      <c r="P61" s="7">
        <v>47</v>
      </c>
      <c r="Q61" s="7">
        <f t="shared" si="14"/>
        <v>7</v>
      </c>
      <c r="R61" s="7">
        <f t="shared" si="15"/>
        <v>5</v>
      </c>
      <c r="S61" s="10" cm="1">
        <f t="array" ref="S61">INDEX('eP-ConceptMap-2'!$I$15:$N$250,Q61+1,R61)</f>
        <v>0</v>
      </c>
    </row>
    <row r="62" spans="16:19" x14ac:dyDescent="0.75">
      <c r="P62" s="7">
        <v>48</v>
      </c>
      <c r="Q62" s="7">
        <f t="shared" si="14"/>
        <v>7</v>
      </c>
      <c r="R62" s="7">
        <f t="shared" si="15"/>
        <v>6</v>
      </c>
      <c r="S62" s="10" cm="1">
        <f t="array" ref="S62">INDEX('eP-ConceptMap-2'!$I$15:$N$250,Q62+1,R62)</f>
        <v>0</v>
      </c>
    </row>
    <row r="63" spans="16:19" x14ac:dyDescent="0.75">
      <c r="P63" s="7">
        <v>49</v>
      </c>
      <c r="Q63" s="7">
        <f t="shared" si="14"/>
        <v>8</v>
      </c>
      <c r="R63" s="7">
        <f t="shared" si="15"/>
        <v>1</v>
      </c>
      <c r="S63" s="10" cm="1">
        <f t="array" ref="S63">INDEX('eP-ConceptMap-2'!$I$15:$N$250,Q63+1,R63)</f>
        <v>0</v>
      </c>
    </row>
    <row r="64" spans="16:19" x14ac:dyDescent="0.75">
      <c r="P64" s="7">
        <v>50</v>
      </c>
      <c r="Q64" s="7">
        <f t="shared" si="14"/>
        <v>8</v>
      </c>
      <c r="R64" s="7">
        <f t="shared" si="15"/>
        <v>2</v>
      </c>
      <c r="S64" s="10" cm="1">
        <f t="array" ref="S64">INDEX('eP-ConceptMap-2'!$I$15:$N$250,Q64+1,R64)</f>
        <v>0</v>
      </c>
    </row>
    <row r="65" spans="16:19" x14ac:dyDescent="0.75">
      <c r="P65" s="7">
        <v>51</v>
      </c>
      <c r="Q65" s="7">
        <f t="shared" si="14"/>
        <v>8</v>
      </c>
      <c r="R65" s="7">
        <f t="shared" si="15"/>
        <v>3</v>
      </c>
      <c r="S65" s="10" cm="1">
        <f t="array" ref="S65">INDEX('eP-ConceptMap-2'!$I$15:$N$250,Q65+1,R65)</f>
        <v>0</v>
      </c>
    </row>
    <row r="66" spans="16:19" x14ac:dyDescent="0.75">
      <c r="P66" s="7">
        <v>52</v>
      </c>
      <c r="Q66" s="7">
        <f t="shared" si="14"/>
        <v>8</v>
      </c>
      <c r="R66" s="7">
        <f t="shared" si="15"/>
        <v>4</v>
      </c>
      <c r="S66" s="10" cm="1">
        <f t="array" ref="S66">INDEX('eP-ConceptMap-2'!$I$15:$N$250,Q66+1,R66)</f>
        <v>0</v>
      </c>
    </row>
    <row r="67" spans="16:19" x14ac:dyDescent="0.75">
      <c r="P67" s="7">
        <v>53</v>
      </c>
      <c r="Q67" s="7">
        <f t="shared" si="14"/>
        <v>8</v>
      </c>
      <c r="R67" s="7">
        <f t="shared" si="15"/>
        <v>5</v>
      </c>
      <c r="S67" s="10" cm="1">
        <f t="array" ref="S67">INDEX('eP-ConceptMap-2'!$I$15:$N$250,Q67+1,R67)</f>
        <v>0</v>
      </c>
    </row>
    <row r="68" spans="16:19" x14ac:dyDescent="0.75">
      <c r="P68" s="7">
        <v>54</v>
      </c>
      <c r="Q68" s="7">
        <f t="shared" si="14"/>
        <v>8</v>
      </c>
      <c r="R68" s="7">
        <f t="shared" si="15"/>
        <v>6</v>
      </c>
      <c r="S68" s="10" cm="1">
        <f t="array" ref="S68">INDEX('eP-ConceptMap-2'!$I$15:$N$250,Q68+1,R68)</f>
        <v>0</v>
      </c>
    </row>
    <row r="69" spans="16:19" x14ac:dyDescent="0.75">
      <c r="P69" s="7">
        <v>55</v>
      </c>
      <c r="Q69" s="7">
        <f t="shared" si="14"/>
        <v>9</v>
      </c>
      <c r="R69" s="7">
        <f t="shared" si="15"/>
        <v>1</v>
      </c>
      <c r="S69" s="10" cm="1">
        <f t="array" ref="S69">INDEX('eP-ConceptMap-2'!$I$15:$N$250,Q69+1,R69)</f>
        <v>0</v>
      </c>
    </row>
    <row r="70" spans="16:19" x14ac:dyDescent="0.75">
      <c r="P70" s="7">
        <v>56</v>
      </c>
      <c r="Q70" s="7">
        <f t="shared" si="14"/>
        <v>9</v>
      </c>
      <c r="R70" s="7">
        <f t="shared" si="15"/>
        <v>2</v>
      </c>
      <c r="S70" s="10" cm="1">
        <f t="array" ref="S70">INDEX('eP-ConceptMap-2'!$I$15:$N$250,Q70+1,R70)</f>
        <v>0</v>
      </c>
    </row>
    <row r="71" spans="16:19" x14ac:dyDescent="0.75">
      <c r="P71" s="7">
        <v>57</v>
      </c>
      <c r="Q71" s="7">
        <f t="shared" si="14"/>
        <v>9</v>
      </c>
      <c r="R71" s="7">
        <f t="shared" si="15"/>
        <v>3</v>
      </c>
      <c r="S71" s="10" cm="1">
        <f t="array" ref="S71">INDEX('eP-ConceptMap-2'!$I$15:$N$250,Q71+1,R71)</f>
        <v>0</v>
      </c>
    </row>
    <row r="72" spans="16:19" x14ac:dyDescent="0.75">
      <c r="P72" s="7">
        <v>58</v>
      </c>
      <c r="Q72" s="7">
        <f t="shared" si="14"/>
        <v>9</v>
      </c>
      <c r="R72" s="7">
        <f t="shared" si="15"/>
        <v>4</v>
      </c>
      <c r="S72" s="10" cm="1">
        <f t="array" ref="S72">INDEX('eP-ConceptMap-2'!$I$15:$N$250,Q72+1,R72)</f>
        <v>0</v>
      </c>
    </row>
    <row r="73" spans="16:19" x14ac:dyDescent="0.75">
      <c r="P73" s="7">
        <v>59</v>
      </c>
      <c r="Q73" s="7">
        <f t="shared" si="14"/>
        <v>9</v>
      </c>
      <c r="R73" s="7">
        <f t="shared" si="15"/>
        <v>5</v>
      </c>
      <c r="S73" s="10" cm="1">
        <f t="array" ref="S73">INDEX('eP-ConceptMap-2'!$I$15:$N$250,Q73+1,R73)</f>
        <v>0</v>
      </c>
    </row>
    <row r="74" spans="16:19" x14ac:dyDescent="0.75">
      <c r="P74" s="7">
        <v>60</v>
      </c>
      <c r="Q74" s="7">
        <f t="shared" si="14"/>
        <v>9</v>
      </c>
      <c r="R74" s="7">
        <f t="shared" si="15"/>
        <v>6</v>
      </c>
      <c r="S74" s="10" cm="1">
        <f t="array" ref="S74">INDEX('eP-ConceptMap-2'!$I$15:$N$250,Q74+1,R74)</f>
        <v>0</v>
      </c>
    </row>
    <row r="75" spans="16:19" x14ac:dyDescent="0.75">
      <c r="P75" s="7">
        <v>61</v>
      </c>
      <c r="Q75" s="7">
        <f t="shared" si="14"/>
        <v>10</v>
      </c>
      <c r="R75" s="7">
        <f t="shared" si="15"/>
        <v>1</v>
      </c>
      <c r="S75" s="10" cm="1">
        <f t="array" ref="S75">INDEX('eP-ConceptMap-2'!$I$15:$N$250,Q75+1,R75)</f>
        <v>0</v>
      </c>
    </row>
    <row r="76" spans="16:19" x14ac:dyDescent="0.75">
      <c r="P76" s="7">
        <v>62</v>
      </c>
      <c r="Q76" s="7">
        <f t="shared" si="14"/>
        <v>10</v>
      </c>
      <c r="R76" s="7">
        <f t="shared" si="15"/>
        <v>2</v>
      </c>
      <c r="S76" s="10" cm="1">
        <f t="array" ref="S76">INDEX('eP-ConceptMap-2'!$I$15:$N$250,Q76+1,R76)</f>
        <v>0</v>
      </c>
    </row>
    <row r="77" spans="16:19" x14ac:dyDescent="0.75">
      <c r="P77" s="7">
        <v>63</v>
      </c>
      <c r="Q77" s="7">
        <f t="shared" si="14"/>
        <v>10</v>
      </c>
      <c r="R77" s="7">
        <f t="shared" si="15"/>
        <v>3</v>
      </c>
      <c r="S77" s="10" cm="1">
        <f t="array" ref="S77">INDEX('eP-ConceptMap-2'!$I$15:$N$250,Q77+1,R77)</f>
        <v>0</v>
      </c>
    </row>
    <row r="78" spans="16:19" x14ac:dyDescent="0.75">
      <c r="P78" s="7">
        <v>64</v>
      </c>
      <c r="Q78" s="7">
        <f t="shared" si="14"/>
        <v>10</v>
      </c>
      <c r="R78" s="7">
        <f t="shared" si="15"/>
        <v>4</v>
      </c>
      <c r="S78" s="10" cm="1">
        <f t="array" ref="S78">INDEX('eP-ConceptMap-2'!$I$15:$N$250,Q78+1,R78)</f>
        <v>0</v>
      </c>
    </row>
    <row r="79" spans="16:19" x14ac:dyDescent="0.75">
      <c r="P79" s="7">
        <v>65</v>
      </c>
      <c r="Q79" s="7">
        <f t="shared" si="14"/>
        <v>10</v>
      </c>
      <c r="R79" s="7">
        <f t="shared" si="15"/>
        <v>5</v>
      </c>
      <c r="S79" s="10" cm="1">
        <f t="array" ref="S79">INDEX('eP-ConceptMap-2'!$I$15:$N$250,Q79+1,R79)</f>
        <v>0</v>
      </c>
    </row>
    <row r="80" spans="16:19" x14ac:dyDescent="0.75">
      <c r="P80" s="7">
        <v>66</v>
      </c>
      <c r="Q80" s="7">
        <f t="shared" si="14"/>
        <v>10</v>
      </c>
      <c r="R80" s="7">
        <f t="shared" si="15"/>
        <v>6</v>
      </c>
      <c r="S80" s="10" cm="1">
        <f t="array" ref="S80">INDEX('eP-ConceptMap-2'!$I$15:$N$250,Q80+1,R80)</f>
        <v>0</v>
      </c>
    </row>
    <row r="81" spans="16:19" x14ac:dyDescent="0.75">
      <c r="P81" s="7">
        <v>67</v>
      </c>
      <c r="Q81" s="7">
        <f t="shared" ref="Q81:Q144" si="16">IF(MOD(P81,$Q$8)=0,P81/$Q$8-1,INT(P81/$Q$8))</f>
        <v>11</v>
      </c>
      <c r="R81" s="7">
        <f t="shared" ref="R81:R144" si="17">IF(MOD(P81,$Q$8)=0,$Q$8,MOD(P81,$Q$8))</f>
        <v>1</v>
      </c>
      <c r="S81" s="10" cm="1">
        <f t="array" ref="S81">INDEX('eP-ConceptMap-2'!$I$15:$N$250,Q81+1,R81)</f>
        <v>0</v>
      </c>
    </row>
    <row r="82" spans="16:19" x14ac:dyDescent="0.75">
      <c r="P82" s="7">
        <v>68</v>
      </c>
      <c r="Q82" s="7">
        <f t="shared" si="16"/>
        <v>11</v>
      </c>
      <c r="R82" s="7">
        <f t="shared" si="17"/>
        <v>2</v>
      </c>
      <c r="S82" s="10" cm="1">
        <f t="array" ref="S82">INDEX('eP-ConceptMap-2'!$I$15:$N$250,Q82+1,R82)</f>
        <v>0</v>
      </c>
    </row>
    <row r="83" spans="16:19" x14ac:dyDescent="0.75">
      <c r="P83" s="7">
        <v>69</v>
      </c>
      <c r="Q83" s="7">
        <f t="shared" si="16"/>
        <v>11</v>
      </c>
      <c r="R83" s="7">
        <f t="shared" si="17"/>
        <v>3</v>
      </c>
      <c r="S83" s="10" cm="1">
        <f t="array" ref="S83">INDEX('eP-ConceptMap-2'!$I$15:$N$250,Q83+1,R83)</f>
        <v>0</v>
      </c>
    </row>
    <row r="84" spans="16:19" x14ac:dyDescent="0.75">
      <c r="P84" s="7">
        <v>70</v>
      </c>
      <c r="Q84" s="7">
        <f t="shared" si="16"/>
        <v>11</v>
      </c>
      <c r="R84" s="7">
        <f t="shared" si="17"/>
        <v>4</v>
      </c>
      <c r="S84" s="10" cm="1">
        <f t="array" ref="S84">INDEX('eP-ConceptMap-2'!$I$15:$N$250,Q84+1,R84)</f>
        <v>0</v>
      </c>
    </row>
    <row r="85" spans="16:19" x14ac:dyDescent="0.75">
      <c r="P85" s="7">
        <v>71</v>
      </c>
      <c r="Q85" s="7">
        <f t="shared" si="16"/>
        <v>11</v>
      </c>
      <c r="R85" s="7">
        <f t="shared" si="17"/>
        <v>5</v>
      </c>
      <c r="S85" s="10" cm="1">
        <f t="array" ref="S85">INDEX('eP-ConceptMap-2'!$I$15:$N$250,Q85+1,R85)</f>
        <v>0</v>
      </c>
    </row>
    <row r="86" spans="16:19" x14ac:dyDescent="0.75">
      <c r="P86" s="7">
        <v>72</v>
      </c>
      <c r="Q86" s="7">
        <f t="shared" si="16"/>
        <v>11</v>
      </c>
      <c r="R86" s="7">
        <f t="shared" si="17"/>
        <v>6</v>
      </c>
      <c r="S86" s="10" cm="1">
        <f t="array" ref="S86">INDEX('eP-ConceptMap-2'!$I$15:$N$250,Q86+1,R86)</f>
        <v>0</v>
      </c>
    </row>
    <row r="87" spans="16:19" x14ac:dyDescent="0.75">
      <c r="P87" s="7">
        <v>73</v>
      </c>
      <c r="Q87" s="7">
        <f t="shared" si="16"/>
        <v>12</v>
      </c>
      <c r="R87" s="7">
        <f t="shared" si="17"/>
        <v>1</v>
      </c>
      <c r="S87" s="10" cm="1">
        <f t="array" ref="S87">INDEX('eP-ConceptMap-2'!$I$15:$N$250,Q87+1,R87)</f>
        <v>0</v>
      </c>
    </row>
    <row r="88" spans="16:19" x14ac:dyDescent="0.75">
      <c r="P88" s="7">
        <v>74</v>
      </c>
      <c r="Q88" s="7">
        <f t="shared" si="16"/>
        <v>12</v>
      </c>
      <c r="R88" s="7">
        <f t="shared" si="17"/>
        <v>2</v>
      </c>
      <c r="S88" s="10" cm="1">
        <f t="array" ref="S88">INDEX('eP-ConceptMap-2'!$I$15:$N$250,Q88+1,R88)</f>
        <v>0</v>
      </c>
    </row>
    <row r="89" spans="16:19" x14ac:dyDescent="0.75">
      <c r="P89" s="7">
        <v>75</v>
      </c>
      <c r="Q89" s="7">
        <f t="shared" si="16"/>
        <v>12</v>
      </c>
      <c r="R89" s="7">
        <f t="shared" si="17"/>
        <v>3</v>
      </c>
      <c r="S89" s="10" cm="1">
        <f t="array" ref="S89">INDEX('eP-ConceptMap-2'!$I$15:$N$250,Q89+1,R89)</f>
        <v>0</v>
      </c>
    </row>
    <row r="90" spans="16:19" x14ac:dyDescent="0.75">
      <c r="P90" s="7">
        <v>76</v>
      </c>
      <c r="Q90" s="7">
        <f t="shared" si="16"/>
        <v>12</v>
      </c>
      <c r="R90" s="7">
        <f t="shared" si="17"/>
        <v>4</v>
      </c>
      <c r="S90" s="10" cm="1">
        <f t="array" ref="S90">INDEX('eP-ConceptMap-2'!$I$15:$N$250,Q90+1,R90)</f>
        <v>0</v>
      </c>
    </row>
    <row r="91" spans="16:19" x14ac:dyDescent="0.75">
      <c r="P91" s="7">
        <v>77</v>
      </c>
      <c r="Q91" s="7">
        <f t="shared" si="16"/>
        <v>12</v>
      </c>
      <c r="R91" s="7">
        <f t="shared" si="17"/>
        <v>5</v>
      </c>
      <c r="S91" s="10" cm="1">
        <f t="array" ref="S91">INDEX('eP-ConceptMap-2'!$I$15:$N$250,Q91+1,R91)</f>
        <v>0</v>
      </c>
    </row>
    <row r="92" spans="16:19" x14ac:dyDescent="0.75">
      <c r="P92" s="7">
        <v>78</v>
      </c>
      <c r="Q92" s="7">
        <f t="shared" si="16"/>
        <v>12</v>
      </c>
      <c r="R92" s="7">
        <f t="shared" si="17"/>
        <v>6</v>
      </c>
      <c r="S92" s="10" cm="1">
        <f t="array" ref="S92">INDEX('eP-ConceptMap-2'!$I$15:$N$250,Q92+1,R92)</f>
        <v>0</v>
      </c>
    </row>
    <row r="93" spans="16:19" x14ac:dyDescent="0.75">
      <c r="P93" s="7">
        <v>79</v>
      </c>
      <c r="Q93" s="7">
        <f t="shared" si="16"/>
        <v>13</v>
      </c>
      <c r="R93" s="7">
        <f t="shared" si="17"/>
        <v>1</v>
      </c>
      <c r="S93" s="10" cm="1">
        <f t="array" ref="S93">INDEX('eP-ConceptMap-2'!$I$15:$N$250,Q93+1,R93)</f>
        <v>0</v>
      </c>
    </row>
    <row r="94" spans="16:19" x14ac:dyDescent="0.75">
      <c r="P94" s="7">
        <v>80</v>
      </c>
      <c r="Q94" s="7">
        <f t="shared" si="16"/>
        <v>13</v>
      </c>
      <c r="R94" s="7">
        <f t="shared" si="17"/>
        <v>2</v>
      </c>
      <c r="S94" s="10" cm="1">
        <f t="array" ref="S94">INDEX('eP-ConceptMap-2'!$I$15:$N$250,Q94+1,R94)</f>
        <v>0</v>
      </c>
    </row>
    <row r="95" spans="16:19" x14ac:dyDescent="0.75">
      <c r="P95" s="7">
        <v>81</v>
      </c>
      <c r="Q95" s="7">
        <f t="shared" si="16"/>
        <v>13</v>
      </c>
      <c r="R95" s="7">
        <f t="shared" si="17"/>
        <v>3</v>
      </c>
      <c r="S95" s="10" cm="1">
        <f t="array" ref="S95">INDEX('eP-ConceptMap-2'!$I$15:$N$250,Q95+1,R95)</f>
        <v>0</v>
      </c>
    </row>
    <row r="96" spans="16:19" x14ac:dyDescent="0.75">
      <c r="P96" s="7">
        <v>82</v>
      </c>
      <c r="Q96" s="7">
        <f t="shared" si="16"/>
        <v>13</v>
      </c>
      <c r="R96" s="7">
        <f t="shared" si="17"/>
        <v>4</v>
      </c>
      <c r="S96" s="10" cm="1">
        <f t="array" ref="S96">INDEX('eP-ConceptMap-2'!$I$15:$N$250,Q96+1,R96)</f>
        <v>0</v>
      </c>
    </row>
    <row r="97" spans="16:19" x14ac:dyDescent="0.75">
      <c r="P97" s="7">
        <v>83</v>
      </c>
      <c r="Q97" s="7">
        <f t="shared" si="16"/>
        <v>13</v>
      </c>
      <c r="R97" s="7">
        <f t="shared" si="17"/>
        <v>5</v>
      </c>
      <c r="S97" s="10" cm="1">
        <f t="array" ref="S97">INDEX('eP-ConceptMap-2'!$I$15:$N$250,Q97+1,R97)</f>
        <v>0</v>
      </c>
    </row>
    <row r="98" spans="16:19" x14ac:dyDescent="0.75">
      <c r="P98" s="7">
        <v>84</v>
      </c>
      <c r="Q98" s="7">
        <f t="shared" si="16"/>
        <v>13</v>
      </c>
      <c r="R98" s="7">
        <f t="shared" si="17"/>
        <v>6</v>
      </c>
      <c r="S98" s="10" cm="1">
        <f t="array" ref="S98">INDEX('eP-ConceptMap-2'!$I$15:$N$250,Q98+1,R98)</f>
        <v>0</v>
      </c>
    </row>
    <row r="99" spans="16:19" x14ac:dyDescent="0.75">
      <c r="P99" s="7">
        <v>85</v>
      </c>
      <c r="Q99" s="7">
        <f t="shared" si="16"/>
        <v>14</v>
      </c>
      <c r="R99" s="7">
        <f t="shared" si="17"/>
        <v>1</v>
      </c>
      <c r="S99" s="10" cm="1">
        <f t="array" ref="S99">INDEX('eP-ConceptMap-2'!$I$15:$N$250,Q99+1,R99)</f>
        <v>0</v>
      </c>
    </row>
    <row r="100" spans="16:19" x14ac:dyDescent="0.75">
      <c r="P100" s="7">
        <v>86</v>
      </c>
      <c r="Q100" s="7">
        <f t="shared" si="16"/>
        <v>14</v>
      </c>
      <c r="R100" s="7">
        <f t="shared" si="17"/>
        <v>2</v>
      </c>
      <c r="S100" s="10" cm="1">
        <f t="array" ref="S100">INDEX('eP-ConceptMap-2'!$I$15:$N$250,Q100+1,R100)</f>
        <v>0</v>
      </c>
    </row>
    <row r="101" spans="16:19" x14ac:dyDescent="0.75">
      <c r="P101" s="7">
        <v>87</v>
      </c>
      <c r="Q101" s="7">
        <f t="shared" si="16"/>
        <v>14</v>
      </c>
      <c r="R101" s="7">
        <f t="shared" si="17"/>
        <v>3</v>
      </c>
      <c r="S101" s="10" cm="1">
        <f t="array" ref="S101">INDEX('eP-ConceptMap-2'!$I$15:$N$250,Q101+1,R101)</f>
        <v>0</v>
      </c>
    </row>
    <row r="102" spans="16:19" x14ac:dyDescent="0.75">
      <c r="P102" s="7">
        <v>88</v>
      </c>
      <c r="Q102" s="7">
        <f t="shared" si="16"/>
        <v>14</v>
      </c>
      <c r="R102" s="7">
        <f t="shared" si="17"/>
        <v>4</v>
      </c>
      <c r="S102" s="10" cm="1">
        <f t="array" ref="S102">INDEX('eP-ConceptMap-2'!$I$15:$N$250,Q102+1,R102)</f>
        <v>0</v>
      </c>
    </row>
    <row r="103" spans="16:19" x14ac:dyDescent="0.75">
      <c r="P103" s="7">
        <v>89</v>
      </c>
      <c r="Q103" s="7">
        <f t="shared" si="16"/>
        <v>14</v>
      </c>
      <c r="R103" s="7">
        <f t="shared" si="17"/>
        <v>5</v>
      </c>
      <c r="S103" s="10" cm="1">
        <f t="array" ref="S103">INDEX('eP-ConceptMap-2'!$I$15:$N$250,Q103+1,R103)</f>
        <v>0</v>
      </c>
    </row>
    <row r="104" spans="16:19" x14ac:dyDescent="0.75">
      <c r="P104" s="7">
        <v>90</v>
      </c>
      <c r="Q104" s="7">
        <f t="shared" si="16"/>
        <v>14</v>
      </c>
      <c r="R104" s="7">
        <f t="shared" si="17"/>
        <v>6</v>
      </c>
      <c r="S104" s="10" cm="1">
        <f t="array" ref="S104">INDEX('eP-ConceptMap-2'!$I$15:$N$250,Q104+1,R104)</f>
        <v>0</v>
      </c>
    </row>
    <row r="105" spans="16:19" x14ac:dyDescent="0.75">
      <c r="P105" s="7">
        <v>91</v>
      </c>
      <c r="Q105" s="7">
        <f t="shared" si="16"/>
        <v>15</v>
      </c>
      <c r="R105" s="7">
        <f t="shared" si="17"/>
        <v>1</v>
      </c>
      <c r="S105" s="10" cm="1">
        <f t="array" ref="S105">INDEX('eP-ConceptMap-2'!$I$15:$N$250,Q105+1,R105)</f>
        <v>0</v>
      </c>
    </row>
    <row r="106" spans="16:19" x14ac:dyDescent="0.75">
      <c r="P106" s="7">
        <v>92</v>
      </c>
      <c r="Q106" s="7">
        <f t="shared" si="16"/>
        <v>15</v>
      </c>
      <c r="R106" s="7">
        <f t="shared" si="17"/>
        <v>2</v>
      </c>
      <c r="S106" s="10" cm="1">
        <f t="array" ref="S106">INDEX('eP-ConceptMap-2'!$I$15:$N$250,Q106+1,R106)</f>
        <v>0</v>
      </c>
    </row>
    <row r="107" spans="16:19" x14ac:dyDescent="0.75">
      <c r="P107" s="7">
        <v>93</v>
      </c>
      <c r="Q107" s="7">
        <f t="shared" si="16"/>
        <v>15</v>
      </c>
      <c r="R107" s="7">
        <f t="shared" si="17"/>
        <v>3</v>
      </c>
      <c r="S107" s="10" cm="1">
        <f t="array" ref="S107">INDEX('eP-ConceptMap-2'!$I$15:$N$250,Q107+1,R107)</f>
        <v>0</v>
      </c>
    </row>
    <row r="108" spans="16:19" x14ac:dyDescent="0.75">
      <c r="P108" s="7">
        <v>94</v>
      </c>
      <c r="Q108" s="7">
        <f t="shared" si="16"/>
        <v>15</v>
      </c>
      <c r="R108" s="7">
        <f t="shared" si="17"/>
        <v>4</v>
      </c>
      <c r="S108" s="10" cm="1">
        <f t="array" ref="S108">INDEX('eP-ConceptMap-2'!$I$15:$N$250,Q108+1,R108)</f>
        <v>0</v>
      </c>
    </row>
    <row r="109" spans="16:19" x14ac:dyDescent="0.75">
      <c r="P109" s="7">
        <v>95</v>
      </c>
      <c r="Q109" s="7">
        <f t="shared" si="16"/>
        <v>15</v>
      </c>
      <c r="R109" s="7">
        <f t="shared" si="17"/>
        <v>5</v>
      </c>
      <c r="S109" s="10" cm="1">
        <f t="array" ref="S109">INDEX('eP-ConceptMap-2'!$I$15:$N$250,Q109+1,R109)</f>
        <v>0</v>
      </c>
    </row>
    <row r="110" spans="16:19" x14ac:dyDescent="0.75">
      <c r="P110" s="7">
        <v>96</v>
      </c>
      <c r="Q110" s="7">
        <f t="shared" si="16"/>
        <v>15</v>
      </c>
      <c r="R110" s="7">
        <f t="shared" si="17"/>
        <v>6</v>
      </c>
      <c r="S110" s="10" cm="1">
        <f t="array" ref="S110">INDEX('eP-ConceptMap-2'!$I$15:$N$250,Q110+1,R110)</f>
        <v>0</v>
      </c>
    </row>
    <row r="111" spans="16:19" x14ac:dyDescent="0.75">
      <c r="P111" s="7">
        <v>97</v>
      </c>
      <c r="Q111" s="7">
        <f t="shared" si="16"/>
        <v>16</v>
      </c>
      <c r="R111" s="7">
        <f t="shared" si="17"/>
        <v>1</v>
      </c>
      <c r="S111" s="10" cm="1">
        <f t="array" ref="S111">INDEX('eP-ConceptMap-2'!$I$15:$N$250,Q111+1,R111)</f>
        <v>0</v>
      </c>
    </row>
    <row r="112" spans="16:19" x14ac:dyDescent="0.75">
      <c r="P112" s="7">
        <v>98</v>
      </c>
      <c r="Q112" s="7">
        <f t="shared" si="16"/>
        <v>16</v>
      </c>
      <c r="R112" s="7">
        <f t="shared" si="17"/>
        <v>2</v>
      </c>
      <c r="S112" s="10" cm="1">
        <f t="array" ref="S112">INDEX('eP-ConceptMap-2'!$I$15:$N$250,Q112+1,R112)</f>
        <v>0</v>
      </c>
    </row>
    <row r="113" spans="16:19" x14ac:dyDescent="0.75">
      <c r="P113" s="7">
        <v>99</v>
      </c>
      <c r="Q113" s="7">
        <f t="shared" si="16"/>
        <v>16</v>
      </c>
      <c r="R113" s="7">
        <f t="shared" si="17"/>
        <v>3</v>
      </c>
      <c r="S113" s="10" cm="1">
        <f t="array" ref="S113">INDEX('eP-ConceptMap-2'!$I$15:$N$250,Q113+1,R113)</f>
        <v>0</v>
      </c>
    </row>
    <row r="114" spans="16:19" x14ac:dyDescent="0.75">
      <c r="P114" s="7">
        <v>100</v>
      </c>
      <c r="Q114" s="7">
        <f t="shared" si="16"/>
        <v>16</v>
      </c>
      <c r="R114" s="7">
        <f t="shared" si="17"/>
        <v>4</v>
      </c>
      <c r="S114" s="10" cm="1">
        <f t="array" ref="S114">INDEX('eP-ConceptMap-2'!$I$15:$N$250,Q114+1,R114)</f>
        <v>0</v>
      </c>
    </row>
    <row r="115" spans="16:19" x14ac:dyDescent="0.75">
      <c r="P115" s="7">
        <v>101</v>
      </c>
      <c r="Q115" s="7">
        <f t="shared" si="16"/>
        <v>16</v>
      </c>
      <c r="R115" s="7">
        <f t="shared" si="17"/>
        <v>5</v>
      </c>
      <c r="S115" s="10" cm="1">
        <f t="array" ref="S115">INDEX('eP-ConceptMap-2'!$I$15:$N$250,Q115+1,R115)</f>
        <v>0</v>
      </c>
    </row>
    <row r="116" spans="16:19" x14ac:dyDescent="0.75">
      <c r="P116" s="7">
        <v>102</v>
      </c>
      <c r="Q116" s="7">
        <f t="shared" si="16"/>
        <v>16</v>
      </c>
      <c r="R116" s="7">
        <f t="shared" si="17"/>
        <v>6</v>
      </c>
      <c r="S116" s="10" cm="1">
        <f t="array" ref="S116">INDEX('eP-ConceptMap-2'!$I$15:$N$250,Q116+1,R116)</f>
        <v>0</v>
      </c>
    </row>
    <row r="117" spans="16:19" x14ac:dyDescent="0.75">
      <c r="P117" s="7">
        <v>103</v>
      </c>
      <c r="Q117" s="7">
        <f t="shared" si="16"/>
        <v>17</v>
      </c>
      <c r="R117" s="7">
        <f t="shared" si="17"/>
        <v>1</v>
      </c>
      <c r="S117" s="10" cm="1">
        <f t="array" ref="S117">INDEX('eP-ConceptMap-2'!$I$15:$N$250,Q117+1,R117)</f>
        <v>0</v>
      </c>
    </row>
    <row r="118" spans="16:19" x14ac:dyDescent="0.75">
      <c r="P118" s="7">
        <v>104</v>
      </c>
      <c r="Q118" s="7">
        <f t="shared" si="16"/>
        <v>17</v>
      </c>
      <c r="R118" s="7">
        <f t="shared" si="17"/>
        <v>2</v>
      </c>
      <c r="S118" s="10" cm="1">
        <f t="array" ref="S118">INDEX('eP-ConceptMap-2'!$I$15:$N$250,Q118+1,R118)</f>
        <v>0</v>
      </c>
    </row>
    <row r="119" spans="16:19" x14ac:dyDescent="0.75">
      <c r="P119" s="7">
        <v>105</v>
      </c>
      <c r="Q119" s="7">
        <f t="shared" si="16"/>
        <v>17</v>
      </c>
      <c r="R119" s="7">
        <f t="shared" si="17"/>
        <v>3</v>
      </c>
      <c r="S119" s="10" cm="1">
        <f t="array" ref="S119">INDEX('eP-ConceptMap-2'!$I$15:$N$250,Q119+1,R119)</f>
        <v>0</v>
      </c>
    </row>
    <row r="120" spans="16:19" x14ac:dyDescent="0.75">
      <c r="P120" s="7">
        <v>106</v>
      </c>
      <c r="Q120" s="7">
        <f t="shared" si="16"/>
        <v>17</v>
      </c>
      <c r="R120" s="7">
        <f t="shared" si="17"/>
        <v>4</v>
      </c>
      <c r="S120" s="10" cm="1">
        <f t="array" ref="S120">INDEX('eP-ConceptMap-2'!$I$15:$N$250,Q120+1,R120)</f>
        <v>0</v>
      </c>
    </row>
    <row r="121" spans="16:19" x14ac:dyDescent="0.75">
      <c r="P121" s="7">
        <v>107</v>
      </c>
      <c r="Q121" s="7">
        <f t="shared" si="16"/>
        <v>17</v>
      </c>
      <c r="R121" s="7">
        <f t="shared" si="17"/>
        <v>5</v>
      </c>
      <c r="S121" s="10" cm="1">
        <f t="array" ref="S121">INDEX('eP-ConceptMap-2'!$I$15:$N$250,Q121+1,R121)</f>
        <v>0</v>
      </c>
    </row>
    <row r="122" spans="16:19" x14ac:dyDescent="0.75">
      <c r="P122" s="7">
        <v>108</v>
      </c>
      <c r="Q122" s="7">
        <f t="shared" si="16"/>
        <v>17</v>
      </c>
      <c r="R122" s="7">
        <f t="shared" si="17"/>
        <v>6</v>
      </c>
      <c r="S122" s="10" cm="1">
        <f t="array" ref="S122">INDEX('eP-ConceptMap-2'!$I$15:$N$250,Q122+1,R122)</f>
        <v>0</v>
      </c>
    </row>
    <row r="123" spans="16:19" x14ac:dyDescent="0.75">
      <c r="P123" s="7">
        <v>109</v>
      </c>
      <c r="Q123" s="7">
        <f t="shared" si="16"/>
        <v>18</v>
      </c>
      <c r="R123" s="7">
        <f t="shared" si="17"/>
        <v>1</v>
      </c>
      <c r="S123" s="10" cm="1">
        <f t="array" ref="S123">INDEX('eP-ConceptMap-2'!$I$15:$N$250,Q123+1,R123)</f>
        <v>0</v>
      </c>
    </row>
    <row r="124" spans="16:19" x14ac:dyDescent="0.75">
      <c r="P124" s="7">
        <v>110</v>
      </c>
      <c r="Q124" s="7">
        <f t="shared" si="16"/>
        <v>18</v>
      </c>
      <c r="R124" s="7">
        <f t="shared" si="17"/>
        <v>2</v>
      </c>
      <c r="S124" s="10" cm="1">
        <f t="array" ref="S124">INDEX('eP-ConceptMap-2'!$I$15:$N$250,Q124+1,R124)</f>
        <v>0</v>
      </c>
    </row>
    <row r="125" spans="16:19" x14ac:dyDescent="0.75">
      <c r="P125" s="7">
        <v>111</v>
      </c>
      <c r="Q125" s="7">
        <f t="shared" si="16"/>
        <v>18</v>
      </c>
      <c r="R125" s="7">
        <f t="shared" si="17"/>
        <v>3</v>
      </c>
      <c r="S125" s="10" cm="1">
        <f t="array" ref="S125">INDEX('eP-ConceptMap-2'!$I$15:$N$250,Q125+1,R125)</f>
        <v>0</v>
      </c>
    </row>
    <row r="126" spans="16:19" x14ac:dyDescent="0.75">
      <c r="P126" s="7">
        <v>112</v>
      </c>
      <c r="Q126" s="7">
        <f t="shared" si="16"/>
        <v>18</v>
      </c>
      <c r="R126" s="7">
        <f t="shared" si="17"/>
        <v>4</v>
      </c>
      <c r="S126" s="10" cm="1">
        <f t="array" ref="S126">INDEX('eP-ConceptMap-2'!$I$15:$N$250,Q126+1,R126)</f>
        <v>0</v>
      </c>
    </row>
    <row r="127" spans="16:19" x14ac:dyDescent="0.75">
      <c r="P127" s="7">
        <v>113</v>
      </c>
      <c r="Q127" s="7">
        <f t="shared" si="16"/>
        <v>18</v>
      </c>
      <c r="R127" s="7">
        <f t="shared" si="17"/>
        <v>5</v>
      </c>
      <c r="S127" s="10" cm="1">
        <f t="array" ref="S127">INDEX('eP-ConceptMap-2'!$I$15:$N$250,Q127+1,R127)</f>
        <v>0</v>
      </c>
    </row>
    <row r="128" spans="16:19" x14ac:dyDescent="0.75">
      <c r="P128" s="7">
        <v>114</v>
      </c>
      <c r="Q128" s="7">
        <f t="shared" si="16"/>
        <v>18</v>
      </c>
      <c r="R128" s="7">
        <f t="shared" si="17"/>
        <v>6</v>
      </c>
      <c r="S128" s="10" cm="1">
        <f t="array" ref="S128">INDEX('eP-ConceptMap-2'!$I$15:$N$250,Q128+1,R128)</f>
        <v>0</v>
      </c>
    </row>
    <row r="129" spans="16:19" x14ac:dyDescent="0.75">
      <c r="P129" s="7">
        <v>115</v>
      </c>
      <c r="Q129" s="7">
        <f t="shared" si="16"/>
        <v>19</v>
      </c>
      <c r="R129" s="7">
        <f t="shared" si="17"/>
        <v>1</v>
      </c>
      <c r="S129" s="10" cm="1">
        <f t="array" ref="S129">INDEX('eP-ConceptMap-2'!$I$15:$N$250,Q129+1,R129)</f>
        <v>0</v>
      </c>
    </row>
    <row r="130" spans="16:19" x14ac:dyDescent="0.75">
      <c r="P130" s="7">
        <v>116</v>
      </c>
      <c r="Q130" s="7">
        <f t="shared" si="16"/>
        <v>19</v>
      </c>
      <c r="R130" s="7">
        <f t="shared" si="17"/>
        <v>2</v>
      </c>
      <c r="S130" s="10" cm="1">
        <f t="array" ref="S130">INDEX('eP-ConceptMap-2'!$I$15:$N$250,Q130+1,R130)</f>
        <v>0</v>
      </c>
    </row>
    <row r="131" spans="16:19" x14ac:dyDescent="0.75">
      <c r="P131" s="7">
        <v>117</v>
      </c>
      <c r="Q131" s="7">
        <f t="shared" si="16"/>
        <v>19</v>
      </c>
      <c r="R131" s="7">
        <f t="shared" si="17"/>
        <v>3</v>
      </c>
      <c r="S131" s="10" cm="1">
        <f t="array" ref="S131">INDEX('eP-ConceptMap-2'!$I$15:$N$250,Q131+1,R131)</f>
        <v>0</v>
      </c>
    </row>
    <row r="132" spans="16:19" x14ac:dyDescent="0.75">
      <c r="P132" s="7">
        <v>118</v>
      </c>
      <c r="Q132" s="7">
        <f t="shared" si="16"/>
        <v>19</v>
      </c>
      <c r="R132" s="7">
        <f t="shared" si="17"/>
        <v>4</v>
      </c>
      <c r="S132" s="10" cm="1">
        <f t="array" ref="S132">INDEX('eP-ConceptMap-2'!$I$15:$N$250,Q132+1,R132)</f>
        <v>0</v>
      </c>
    </row>
    <row r="133" spans="16:19" x14ac:dyDescent="0.75">
      <c r="P133" s="7">
        <v>119</v>
      </c>
      <c r="Q133" s="7">
        <f t="shared" si="16"/>
        <v>19</v>
      </c>
      <c r="R133" s="7">
        <f t="shared" si="17"/>
        <v>5</v>
      </c>
      <c r="S133" s="10" cm="1">
        <f t="array" ref="S133">INDEX('eP-ConceptMap-2'!$I$15:$N$250,Q133+1,R133)</f>
        <v>0</v>
      </c>
    </row>
    <row r="134" spans="16:19" x14ac:dyDescent="0.75">
      <c r="P134" s="7">
        <v>120</v>
      </c>
      <c r="Q134" s="7">
        <f t="shared" si="16"/>
        <v>19</v>
      </c>
      <c r="R134" s="7">
        <f t="shared" si="17"/>
        <v>6</v>
      </c>
      <c r="S134" s="10" cm="1">
        <f t="array" ref="S134">INDEX('eP-ConceptMap-2'!$I$15:$N$250,Q134+1,R134)</f>
        <v>0</v>
      </c>
    </row>
    <row r="135" spans="16:19" x14ac:dyDescent="0.75">
      <c r="P135" s="7">
        <v>121</v>
      </c>
      <c r="Q135" s="7">
        <f t="shared" si="16"/>
        <v>20</v>
      </c>
      <c r="R135" s="7">
        <f t="shared" si="17"/>
        <v>1</v>
      </c>
      <c r="S135" s="10" cm="1">
        <f t="array" ref="S135">INDEX('eP-ConceptMap-2'!$I$15:$N$250,Q135+1,R135)</f>
        <v>0</v>
      </c>
    </row>
    <row r="136" spans="16:19" x14ac:dyDescent="0.75">
      <c r="P136" s="7">
        <v>122</v>
      </c>
      <c r="Q136" s="7">
        <f t="shared" si="16"/>
        <v>20</v>
      </c>
      <c r="R136" s="7">
        <f t="shared" si="17"/>
        <v>2</v>
      </c>
      <c r="S136" s="10" cm="1">
        <f t="array" ref="S136">INDEX('eP-ConceptMap-2'!$I$15:$N$250,Q136+1,R136)</f>
        <v>0</v>
      </c>
    </row>
    <row r="137" spans="16:19" x14ac:dyDescent="0.75">
      <c r="P137" s="7">
        <v>123</v>
      </c>
      <c r="Q137" s="7">
        <f t="shared" si="16"/>
        <v>20</v>
      </c>
      <c r="R137" s="7">
        <f t="shared" si="17"/>
        <v>3</v>
      </c>
      <c r="S137" s="10" cm="1">
        <f t="array" ref="S137">INDEX('eP-ConceptMap-2'!$I$15:$N$250,Q137+1,R137)</f>
        <v>0</v>
      </c>
    </row>
    <row r="138" spans="16:19" x14ac:dyDescent="0.75">
      <c r="P138" s="7">
        <v>124</v>
      </c>
      <c r="Q138" s="7">
        <f t="shared" si="16"/>
        <v>20</v>
      </c>
      <c r="R138" s="7">
        <f t="shared" si="17"/>
        <v>4</v>
      </c>
      <c r="S138" s="10" cm="1">
        <f t="array" ref="S138">INDEX('eP-ConceptMap-2'!$I$15:$N$250,Q138+1,R138)</f>
        <v>0</v>
      </c>
    </row>
    <row r="139" spans="16:19" x14ac:dyDescent="0.75">
      <c r="P139" s="7">
        <v>125</v>
      </c>
      <c r="Q139" s="7">
        <f t="shared" si="16"/>
        <v>20</v>
      </c>
      <c r="R139" s="7">
        <f t="shared" si="17"/>
        <v>5</v>
      </c>
      <c r="S139" s="10" cm="1">
        <f t="array" ref="S139">INDEX('eP-ConceptMap-2'!$I$15:$N$250,Q139+1,R139)</f>
        <v>0</v>
      </c>
    </row>
    <row r="140" spans="16:19" x14ac:dyDescent="0.75">
      <c r="P140" s="7">
        <v>126</v>
      </c>
      <c r="Q140" s="7">
        <f t="shared" si="16"/>
        <v>20</v>
      </c>
      <c r="R140" s="7">
        <f t="shared" si="17"/>
        <v>6</v>
      </c>
      <c r="S140" s="10" cm="1">
        <f t="array" ref="S140">INDEX('eP-ConceptMap-2'!$I$15:$N$250,Q140+1,R140)</f>
        <v>0</v>
      </c>
    </row>
    <row r="141" spans="16:19" x14ac:dyDescent="0.75">
      <c r="P141" s="7">
        <v>127</v>
      </c>
      <c r="Q141" s="7">
        <f t="shared" si="16"/>
        <v>21</v>
      </c>
      <c r="R141" s="7">
        <f t="shared" si="17"/>
        <v>1</v>
      </c>
      <c r="S141" s="10" cm="1">
        <f t="array" ref="S141">INDEX('eP-ConceptMap-2'!$I$15:$N$250,Q141+1,R141)</f>
        <v>0</v>
      </c>
    </row>
    <row r="142" spans="16:19" x14ac:dyDescent="0.75">
      <c r="P142" s="7">
        <v>128</v>
      </c>
      <c r="Q142" s="7">
        <f t="shared" si="16"/>
        <v>21</v>
      </c>
      <c r="R142" s="7">
        <f t="shared" si="17"/>
        <v>2</v>
      </c>
      <c r="S142" s="10" cm="1">
        <f t="array" ref="S142">INDEX('eP-ConceptMap-2'!$I$15:$N$250,Q142+1,R142)</f>
        <v>0</v>
      </c>
    </row>
    <row r="143" spans="16:19" x14ac:dyDescent="0.75">
      <c r="P143" s="7">
        <v>129</v>
      </c>
      <c r="Q143" s="7">
        <f t="shared" si="16"/>
        <v>21</v>
      </c>
      <c r="R143" s="7">
        <f t="shared" si="17"/>
        <v>3</v>
      </c>
      <c r="S143" s="10" cm="1">
        <f t="array" ref="S143">INDEX('eP-ConceptMap-2'!$I$15:$N$250,Q143+1,R143)</f>
        <v>0</v>
      </c>
    </row>
    <row r="144" spans="16:19" x14ac:dyDescent="0.75">
      <c r="P144" s="7">
        <v>130</v>
      </c>
      <c r="Q144" s="7">
        <f t="shared" si="16"/>
        <v>21</v>
      </c>
      <c r="R144" s="7">
        <f t="shared" si="17"/>
        <v>4</v>
      </c>
      <c r="S144" s="10" cm="1">
        <f t="array" ref="S144">INDEX('eP-ConceptMap-2'!$I$15:$N$250,Q144+1,R144)</f>
        <v>0</v>
      </c>
    </row>
    <row r="145" spans="16:19" x14ac:dyDescent="0.75">
      <c r="P145" s="7">
        <v>131</v>
      </c>
      <c r="Q145" s="7">
        <f t="shared" ref="Q145:Q154" si="18">IF(MOD(P145,$Q$8)=0,P145/$Q$8-1,INT(P145/$Q$8))</f>
        <v>21</v>
      </c>
      <c r="R145" s="7">
        <f t="shared" ref="R145:R154" si="19">IF(MOD(P145,$Q$8)=0,$Q$8,MOD(P145,$Q$8))</f>
        <v>5</v>
      </c>
      <c r="S145" s="10" cm="1">
        <f t="array" ref="S145">INDEX('eP-ConceptMap-2'!$I$15:$N$250,Q145+1,R145)</f>
        <v>0</v>
      </c>
    </row>
    <row r="146" spans="16:19" x14ac:dyDescent="0.75">
      <c r="P146" s="7">
        <v>132</v>
      </c>
      <c r="Q146" s="7">
        <f t="shared" si="18"/>
        <v>21</v>
      </c>
      <c r="R146" s="7">
        <f t="shared" si="19"/>
        <v>6</v>
      </c>
      <c r="S146" s="10" cm="1">
        <f t="array" ref="S146">INDEX('eP-ConceptMap-2'!$I$15:$N$250,Q146+1,R146)</f>
        <v>0</v>
      </c>
    </row>
    <row r="147" spans="16:19" x14ac:dyDescent="0.75">
      <c r="P147" s="7">
        <v>133</v>
      </c>
      <c r="Q147" s="7">
        <f t="shared" si="18"/>
        <v>22</v>
      </c>
      <c r="R147" s="7">
        <f t="shared" si="19"/>
        <v>1</v>
      </c>
      <c r="S147" s="10" cm="1">
        <f t="array" ref="S147">INDEX('eP-ConceptMap-2'!$I$15:$N$250,Q147+1,R147)</f>
        <v>0</v>
      </c>
    </row>
    <row r="148" spans="16:19" x14ac:dyDescent="0.75">
      <c r="P148" s="7">
        <v>134</v>
      </c>
      <c r="Q148" s="7">
        <f t="shared" si="18"/>
        <v>22</v>
      </c>
      <c r="R148" s="7">
        <f t="shared" si="19"/>
        <v>2</v>
      </c>
      <c r="S148" s="10" cm="1">
        <f t="array" ref="S148">INDEX('eP-ConceptMap-2'!$I$15:$N$250,Q148+1,R148)</f>
        <v>0</v>
      </c>
    </row>
    <row r="149" spans="16:19" x14ac:dyDescent="0.75">
      <c r="P149" s="7">
        <v>135</v>
      </c>
      <c r="Q149" s="7">
        <f t="shared" si="18"/>
        <v>22</v>
      </c>
      <c r="R149" s="7">
        <f t="shared" si="19"/>
        <v>3</v>
      </c>
      <c r="S149" s="10" cm="1">
        <f t="array" ref="S149">INDEX('eP-ConceptMap-2'!$I$15:$N$250,Q149+1,R149)</f>
        <v>0</v>
      </c>
    </row>
    <row r="150" spans="16:19" x14ac:dyDescent="0.75">
      <c r="P150" s="7">
        <v>136</v>
      </c>
      <c r="Q150" s="7">
        <f t="shared" si="18"/>
        <v>22</v>
      </c>
      <c r="R150" s="7">
        <f t="shared" si="19"/>
        <v>4</v>
      </c>
      <c r="S150" s="10" cm="1">
        <f t="array" ref="S150">INDEX('eP-ConceptMap-2'!$I$15:$N$250,Q150+1,R150)</f>
        <v>0</v>
      </c>
    </row>
    <row r="151" spans="16:19" x14ac:dyDescent="0.75">
      <c r="P151" s="7">
        <v>137</v>
      </c>
      <c r="Q151" s="7">
        <f t="shared" si="18"/>
        <v>22</v>
      </c>
      <c r="R151" s="7">
        <f t="shared" si="19"/>
        <v>5</v>
      </c>
      <c r="S151" s="10" cm="1">
        <f t="array" ref="S151">INDEX('eP-ConceptMap-2'!$I$15:$N$250,Q151+1,R151)</f>
        <v>0</v>
      </c>
    </row>
    <row r="152" spans="16:19" x14ac:dyDescent="0.75">
      <c r="P152" s="7">
        <v>138</v>
      </c>
      <c r="Q152" s="7">
        <f t="shared" si="18"/>
        <v>22</v>
      </c>
      <c r="R152" s="7">
        <f t="shared" si="19"/>
        <v>6</v>
      </c>
      <c r="S152" s="10" cm="1">
        <f t="array" ref="S152">INDEX('eP-ConceptMap-2'!$I$15:$N$250,Q152+1,R152)</f>
        <v>0</v>
      </c>
    </row>
    <row r="153" spans="16:19" x14ac:dyDescent="0.75">
      <c r="P153" s="7">
        <v>139</v>
      </c>
      <c r="Q153" s="7">
        <f t="shared" si="18"/>
        <v>23</v>
      </c>
      <c r="R153" s="7">
        <f t="shared" si="19"/>
        <v>1</v>
      </c>
      <c r="S153" s="10" cm="1">
        <f t="array" ref="S153">INDEX('eP-ConceptMap-2'!$I$15:$N$250,Q153+1,R153)</f>
        <v>0</v>
      </c>
    </row>
    <row r="154" spans="16:19" x14ac:dyDescent="0.75">
      <c r="P154" s="7">
        <v>140</v>
      </c>
      <c r="Q154" s="7">
        <f t="shared" si="18"/>
        <v>23</v>
      </c>
      <c r="R154" s="7">
        <f t="shared" si="19"/>
        <v>2</v>
      </c>
      <c r="S154" s="10" cm="1">
        <f t="array" ref="S154">INDEX('eP-ConceptMap-2'!$I$15:$N$250,Q154+1,R154)</f>
        <v>0</v>
      </c>
    </row>
    <row r="155" spans="16:19" x14ac:dyDescent="0.75">
      <c r="P155" s="7">
        <v>163</v>
      </c>
      <c r="Q155" s="7">
        <f t="shared" ref="Q155:Q170" si="20">IF(MOD(P155,$Q$8)=0,P155/$Q$8-1,INT(P155/$Q$8))</f>
        <v>27</v>
      </c>
      <c r="R155" s="7">
        <f t="shared" ref="R155:R170" si="21">IF(MOD(P155,$Q$8)=0,$Q$8,MOD(P155,$Q$8))</f>
        <v>1</v>
      </c>
      <c r="S155" s="10" cm="1">
        <f t="array" ref="S155">INDEX('eP-ConceptMap-2'!$I$15:$N$250,Q155+1,R155)</f>
        <v>0</v>
      </c>
    </row>
    <row r="156" spans="16:19" x14ac:dyDescent="0.75">
      <c r="P156" s="7">
        <v>164</v>
      </c>
      <c r="Q156" s="7">
        <f t="shared" si="20"/>
        <v>27</v>
      </c>
      <c r="R156" s="7">
        <f t="shared" si="21"/>
        <v>2</v>
      </c>
      <c r="S156" s="10" cm="1">
        <f t="array" ref="S156">INDEX('eP-ConceptMap-2'!$I$15:$N$250,Q156+1,R156)</f>
        <v>0</v>
      </c>
    </row>
    <row r="157" spans="16:19" x14ac:dyDescent="0.75">
      <c r="P157" s="7">
        <v>165</v>
      </c>
      <c r="Q157" s="7">
        <f t="shared" si="20"/>
        <v>27</v>
      </c>
      <c r="R157" s="7">
        <f t="shared" si="21"/>
        <v>3</v>
      </c>
      <c r="S157" s="10" cm="1">
        <f t="array" ref="S157">INDEX('eP-ConceptMap-2'!$I$15:$N$250,Q157+1,R157)</f>
        <v>0</v>
      </c>
    </row>
    <row r="158" spans="16:19" x14ac:dyDescent="0.75">
      <c r="P158" s="7">
        <v>166</v>
      </c>
      <c r="Q158" s="7">
        <f t="shared" si="20"/>
        <v>27</v>
      </c>
      <c r="R158" s="7">
        <f t="shared" si="21"/>
        <v>4</v>
      </c>
      <c r="S158" s="10" cm="1">
        <f t="array" ref="S158">INDEX('eP-ConceptMap-2'!$I$15:$N$250,Q158+1,R158)</f>
        <v>0</v>
      </c>
    </row>
    <row r="159" spans="16:19" x14ac:dyDescent="0.75">
      <c r="P159" s="7">
        <v>167</v>
      </c>
      <c r="Q159" s="7">
        <f t="shared" si="20"/>
        <v>27</v>
      </c>
      <c r="R159" s="7">
        <f t="shared" si="21"/>
        <v>5</v>
      </c>
      <c r="S159" s="10" cm="1">
        <f t="array" ref="S159">INDEX('eP-ConceptMap-2'!$I$15:$N$250,Q159+1,R159)</f>
        <v>0</v>
      </c>
    </row>
    <row r="160" spans="16:19" x14ac:dyDescent="0.75">
      <c r="P160" s="7">
        <v>168</v>
      </c>
      <c r="Q160" s="7">
        <f t="shared" si="20"/>
        <v>27</v>
      </c>
      <c r="R160" s="7">
        <f t="shared" si="21"/>
        <v>6</v>
      </c>
      <c r="S160" s="10" cm="1">
        <f t="array" ref="S160">INDEX('eP-ConceptMap-2'!$I$15:$N$250,Q160+1,R160)</f>
        <v>0</v>
      </c>
    </row>
    <row r="161" spans="16:19" x14ac:dyDescent="0.75">
      <c r="P161" s="7">
        <v>169</v>
      </c>
      <c r="Q161" s="7">
        <f t="shared" si="20"/>
        <v>28</v>
      </c>
      <c r="R161" s="7">
        <f t="shared" si="21"/>
        <v>1</v>
      </c>
      <c r="S161" s="10" cm="1">
        <f t="array" ref="S161">INDEX('eP-ConceptMap-2'!$I$15:$N$250,Q161+1,R161)</f>
        <v>0</v>
      </c>
    </row>
    <row r="162" spans="16:19" x14ac:dyDescent="0.75">
      <c r="P162" s="7">
        <v>170</v>
      </c>
      <c r="Q162" s="7">
        <f t="shared" si="20"/>
        <v>28</v>
      </c>
      <c r="R162" s="7">
        <f t="shared" si="21"/>
        <v>2</v>
      </c>
      <c r="S162" s="10" cm="1">
        <f t="array" ref="S162">INDEX('eP-ConceptMap-2'!$I$15:$N$250,Q162+1,R162)</f>
        <v>0</v>
      </c>
    </row>
    <row r="163" spans="16:19" x14ac:dyDescent="0.75">
      <c r="P163" s="7">
        <v>171</v>
      </c>
      <c r="Q163" s="7">
        <f t="shared" si="20"/>
        <v>28</v>
      </c>
      <c r="R163" s="7">
        <f t="shared" si="21"/>
        <v>3</v>
      </c>
      <c r="S163" s="10" cm="1">
        <f t="array" ref="S163">INDEX('eP-ConceptMap-2'!$I$15:$N$250,Q163+1,R163)</f>
        <v>0</v>
      </c>
    </row>
    <row r="164" spans="16:19" x14ac:dyDescent="0.75">
      <c r="P164" s="7">
        <v>172</v>
      </c>
      <c r="Q164" s="7">
        <f t="shared" si="20"/>
        <v>28</v>
      </c>
      <c r="R164" s="7">
        <f t="shared" si="21"/>
        <v>4</v>
      </c>
      <c r="S164" s="10" cm="1">
        <f t="array" ref="S164">INDEX('eP-ConceptMap-2'!$I$15:$N$250,Q164+1,R164)</f>
        <v>0</v>
      </c>
    </row>
    <row r="165" spans="16:19" x14ac:dyDescent="0.75">
      <c r="P165" s="7">
        <v>173</v>
      </c>
      <c r="Q165" s="7">
        <f t="shared" si="20"/>
        <v>28</v>
      </c>
      <c r="R165" s="7">
        <f t="shared" si="21"/>
        <v>5</v>
      </c>
      <c r="S165" s="10" cm="1">
        <f t="array" ref="S165">INDEX('eP-ConceptMap-2'!$I$15:$N$250,Q165+1,R165)</f>
        <v>0</v>
      </c>
    </row>
    <row r="166" spans="16:19" x14ac:dyDescent="0.75">
      <c r="P166" s="7">
        <v>174</v>
      </c>
      <c r="Q166" s="7">
        <f t="shared" si="20"/>
        <v>28</v>
      </c>
      <c r="R166" s="7">
        <f t="shared" si="21"/>
        <v>6</v>
      </c>
      <c r="S166" s="10" cm="1">
        <f t="array" ref="S166">INDEX('eP-ConceptMap-2'!$I$15:$N$250,Q166+1,R166)</f>
        <v>0</v>
      </c>
    </row>
    <row r="167" spans="16:19" x14ac:dyDescent="0.75">
      <c r="P167" s="7">
        <v>175</v>
      </c>
      <c r="Q167" s="7">
        <f t="shared" si="20"/>
        <v>29</v>
      </c>
      <c r="R167" s="7">
        <f t="shared" si="21"/>
        <v>1</v>
      </c>
      <c r="S167" s="10" cm="1">
        <f t="array" ref="S167">INDEX('eP-ConceptMap-2'!$I$15:$N$250,Q167+1,R167)</f>
        <v>0</v>
      </c>
    </row>
    <row r="168" spans="16:19" x14ac:dyDescent="0.75">
      <c r="P168" s="7">
        <v>176</v>
      </c>
      <c r="Q168" s="7">
        <f t="shared" si="20"/>
        <v>29</v>
      </c>
      <c r="R168" s="7">
        <f t="shared" si="21"/>
        <v>2</v>
      </c>
      <c r="S168" s="10" cm="1">
        <f t="array" ref="S168">INDEX('eP-ConceptMap-2'!$I$15:$N$250,Q168+1,R168)</f>
        <v>0</v>
      </c>
    </row>
    <row r="169" spans="16:19" x14ac:dyDescent="0.75">
      <c r="P169" s="7">
        <v>177</v>
      </c>
      <c r="Q169" s="7">
        <f t="shared" si="20"/>
        <v>29</v>
      </c>
      <c r="R169" s="7">
        <f t="shared" si="21"/>
        <v>3</v>
      </c>
      <c r="S169" s="10" cm="1">
        <f t="array" ref="S169">INDEX('eP-ConceptMap-2'!$I$15:$N$250,Q169+1,R169)</f>
        <v>0</v>
      </c>
    </row>
    <row r="170" spans="16:19" x14ac:dyDescent="0.75">
      <c r="P170" s="7">
        <v>178</v>
      </c>
      <c r="Q170" s="7">
        <f t="shared" si="20"/>
        <v>29</v>
      </c>
      <c r="R170" s="7">
        <f t="shared" si="21"/>
        <v>4</v>
      </c>
      <c r="S170" s="10" cm="1">
        <f t="array" ref="S170">INDEX('eP-ConceptMap-2'!$I$15:$N$250,Q170+1,R170)</f>
        <v>0</v>
      </c>
    </row>
  </sheetData>
  <mergeCells count="4">
    <mergeCell ref="E3:G3"/>
    <mergeCell ref="E4:G4"/>
    <mergeCell ref="E6:G6"/>
    <mergeCell ref="E7:G7"/>
  </mergeCells>
  <hyperlinks>
    <hyperlink ref="C6" r:id="rId1" xr:uid="{13EEC9FB-7799-4A79-B45D-175F1674DB7E}"/>
    <hyperlink ref="E4" r:id="rId2" display="http://hl7.eu/fhir/ig/xpandh-mpd/StructureDefinition/Practictioner-eu-xpandh" xr:uid="{B753FDC2-B682-4D8B-93FC-7F3B8AC88B41}"/>
    <hyperlink ref="E7" r:id="rId3" display="http://hl7.eu/fhir/laboratory/StructureDefinition/Patient-eu-lab" xr:uid="{4C7D4277-A10F-43B1-9F5B-1212990C1E09}"/>
    <hyperlink ref="C1" r:id="rId4" xr:uid="{5B66FB5A-1C29-4481-8F76-5EBDBCC1FE0B}"/>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5F066-1363-4497-8000-2F33C1D0F8DA}">
  <sheetPr codeName="Foglio67">
    <tabColor theme="0" tint="-0.34998626667073579"/>
  </sheetPr>
  <dimension ref="B1:G251"/>
  <sheetViews>
    <sheetView workbookViewId="0">
      <selection activeCell="D31" sqref="D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'eP-ConceptMap'!C4&amp;".fsh"</f>
        <v>eP2FHIR-eu-xpandh.fsh</v>
      </c>
    </row>
    <row r="3" spans="2:7" x14ac:dyDescent="0.75">
      <c r="B3" s="21" t="s">
        <v>21</v>
      </c>
    </row>
    <row r="4" spans="2:7" x14ac:dyDescent="0.75">
      <c r="B4" s="50" t="str">
        <f>"Instance: "&amp;'eP-ConceptMap'!C4</f>
        <v>Instance: eP2FHIR-eu-xpandh</v>
      </c>
    </row>
    <row r="5" spans="2:7" x14ac:dyDescent="0.75">
      <c r="B5" s="50" t="s">
        <v>304</v>
      </c>
    </row>
    <row r="6" spans="2:7" x14ac:dyDescent="0.75">
      <c r="B6" s="50" t="s">
        <v>305</v>
      </c>
    </row>
    <row r="7" spans="2:7" x14ac:dyDescent="0.75">
      <c r="B7" s="50" t="s">
        <v>309</v>
      </c>
    </row>
    <row r="8" spans="2:7" x14ac:dyDescent="0.75">
      <c r="B8" s="50" t="str">
        <f>"* name = ##34#"&amp;'eP-ConceptMap'!C3&amp;"##34#"</f>
        <v>* name = ##34#eP2Fhir##34#</v>
      </c>
    </row>
    <row r="9" spans="2:7" x14ac:dyDescent="0.75">
      <c r="B9" s="50" t="str">
        <f>"* title = ##34#"&amp;'eP-ConceptMap'!C5&amp;"##34#"</f>
        <v>* title = ##34#eHN Prescription to this guide Map##34#</v>
      </c>
    </row>
    <row r="10" spans="2:7" x14ac:dyDescent="0.75">
      <c r="B10" s="50" t="s">
        <v>306</v>
      </c>
    </row>
    <row r="11" spans="2:7" x14ac:dyDescent="0.75">
      <c r="B11" s="50" t="s">
        <v>307</v>
      </c>
    </row>
    <row r="12" spans="2:7" x14ac:dyDescent="0.75">
      <c r="B12" s="50" t="str">
        <f>"* description = ##34#"&amp;'eP-ConceptMap'!C8&amp;"##34#"</f>
        <v>* description = ##34#eHN ePrescription Model to this guide Map##34#</v>
      </c>
    </row>
    <row r="13" spans="2:7" x14ac:dyDescent="0.75">
      <c r="B13" s="50" t="str">
        <f>"* purpose = ##34#"&amp;'eP-ConceptMap'!C9&amp;"##34#"</f>
        <v>* purpose = ##34#It shows how the ePrescription data set defined by the EU eHN guidelines is mapped into this guide##34#</v>
      </c>
    </row>
    <row r="14" spans="2:7" x14ac:dyDescent="0.75">
      <c r="B14" s="51" t="str">
        <f>"* sourceUri = ##34#"&amp;'eP-ConceptMap'!E3&amp;"##34#"</f>
        <v>* sourceUri = ##34#http://hl7.eu/fhir/ig/xpandh-mpd/StructureDefinition/Prescription##34#</v>
      </c>
    </row>
    <row r="15" spans="2:7" x14ac:dyDescent="0.75">
      <c r="B15" s="51" t="str">
        <f>"* targetUri = ##34#"&amp;'eP-ConceptMap'!E4&amp;"##34#"</f>
        <v>* targetUri = ##34#http://hl7.eu/fhir/ig/xpandh-mpd//StructureDefinition/MedicationRequest-eu-xpandh##34#</v>
      </c>
    </row>
    <row r="16" spans="2:7" x14ac:dyDescent="0.75">
      <c r="B16" s="50"/>
    </row>
    <row r="17" spans="2:7" x14ac:dyDescent="0.75">
      <c r="B17" s="52" t="str">
        <f>"* group[+].source = ##34#"&amp;'eP-ConceptMap'!E6&amp;"##34#"</f>
        <v>* group[+].source = ##34#http://hl7.eu/fhir/ig/xpandh-mpd/StructureDefinition/Prescription##34#</v>
      </c>
    </row>
    <row r="18" spans="2:7" x14ac:dyDescent="0.75">
      <c r="B18" s="52" t="str">
        <f>"* group[=].target = ##34#"&amp;'eP-ConceptMap'!E7&amp;"##34#"</f>
        <v>* group[=].target = ##34#http://hl7.eu/fhir/ig/xpandh-mpd//StructureDefinition/MedicationRequest-eu-xpandh##34#</v>
      </c>
    </row>
    <row r="19" spans="2:7" x14ac:dyDescent="0.75">
      <c r="B19" s="54"/>
    </row>
    <row r="20" spans="2:7" x14ac:dyDescent="0.75">
      <c r="B20" s="10" t="str">
        <f>IF('eP-ConceptMap'!S15=0,"//---END",'eP-ConceptMap'!S15)</f>
        <v>* group[=].element[+].code = #Prescription.patient</v>
      </c>
    </row>
    <row r="21" spans="2:7" x14ac:dyDescent="0.75">
      <c r="B21" s="10" t="str">
        <f>IF('eP-ConceptMap'!S16=0,"//---END",'eP-ConceptMap'!S16)</f>
        <v>* group[=].element[=].display = ##34#A.1.1 Patient administrative data##34#</v>
      </c>
    </row>
    <row r="22" spans="2:7" x14ac:dyDescent="0.75">
      <c r="B22" s="10" t="str">
        <f>IF('eP-ConceptMap'!S17=0,"//---END",'eP-ConceptMap'!S17)</f>
        <v>* group[=].element[=].target.code = #MedicationRequest.subject</v>
      </c>
    </row>
    <row r="23" spans="2:7" x14ac:dyDescent="0.75">
      <c r="B23" s="10" t="str">
        <f>IF('eP-ConceptMap'!S18=0,"//---END",'eP-ConceptMap'!S18)</f>
        <v>* group[=].element[=].target.display = ##34###34#</v>
      </c>
    </row>
    <row r="24" spans="2:7" x14ac:dyDescent="0.75">
      <c r="B24" s="10" t="str">
        <f>IF('eP-ConceptMap'!S19=0,"//---END",'eP-ConceptMap'!S19)</f>
        <v>* group[=].element[=].target.equivalence = #equivalent</v>
      </c>
    </row>
    <row r="25" spans="2:7" x14ac:dyDescent="0.75">
      <c r="B25" s="10" t="str">
        <f>IF('eP-ConceptMap'!S20=0,"//---END",'eP-ConceptMap'!S20)</f>
        <v/>
      </c>
      <c r="G25" s="8"/>
    </row>
    <row r="26" spans="2:7" x14ac:dyDescent="0.75">
      <c r="B26" s="10" t="str">
        <f>IF('eP-ConceptMap'!S21=0,"//---END",'eP-ConceptMap'!S21)</f>
        <v>* group[=].element[+].code = #Prescription.authentication</v>
      </c>
    </row>
    <row r="27" spans="2:7" x14ac:dyDescent="0.75">
      <c r="B27" s="10" t="str">
        <f>IF('eP-ConceptMap'!S22=0,"//---END",'eP-ConceptMap'!S22)</f>
        <v>* group[=].element[=].display = ##34#A.1.2 Authentication of the prescription##34#</v>
      </c>
    </row>
    <row r="28" spans="2:7" x14ac:dyDescent="0.75">
      <c r="B28" s="10" t="str">
        <f>IF('eP-ConceptMap'!S23=0,"//---END",'eP-ConceptMap'!S23)</f>
        <v>* group[=].element[=].target.code = #MedicationRequest</v>
      </c>
    </row>
    <row r="29" spans="2:7" x14ac:dyDescent="0.75">
      <c r="B29" s="10" t="str">
        <f>IF('eP-ConceptMap'!S24=0,"//---END",'eP-ConceptMap'!S24)</f>
        <v>* group[=].element[=].target.display = ##34###34#</v>
      </c>
    </row>
    <row r="30" spans="2:7" x14ac:dyDescent="0.75">
      <c r="B30" s="10" t="str">
        <f>IF('eP-ConceptMap'!S25=0,"//---END",'eP-ConceptMap'!S25)</f>
        <v>* group[=].element[=].target.equivalence = #relatedto</v>
      </c>
    </row>
    <row r="31" spans="2:7" x14ac:dyDescent="0.75">
      <c r="B31" s="10" t="str">
        <f>IF('eP-ConceptMap'!S26=0,"//---END",'eP-ConceptMap'!S26)</f>
        <v/>
      </c>
    </row>
    <row r="32" spans="2:7" x14ac:dyDescent="0.75">
      <c r="B32" s="10" t="str">
        <f>IF('eP-ConceptMap'!S27=0,"//---END",'eP-ConceptMap'!S27)</f>
        <v>* group[=].element[+].code = #Prescription.authentication.identifier</v>
      </c>
    </row>
    <row r="33" spans="2:2" x14ac:dyDescent="0.75">
      <c r="B33" s="10" t="str">
        <f>IF('eP-ConceptMap'!S28=0,"//---END",'eP-ConceptMap'!S28)</f>
        <v>* group[=].element[=].display = ##34#A.1.2.1 Identifier of the Prescription##34#</v>
      </c>
    </row>
    <row r="34" spans="2:2" x14ac:dyDescent="0.75">
      <c r="B34" s="10" t="str">
        <f>IF('eP-ConceptMap'!S29=0,"//---END",'eP-ConceptMap'!S29)</f>
        <v>* group[=].element[=].target.code = #MedicationRequest.identifier</v>
      </c>
    </row>
    <row r="35" spans="2:2" x14ac:dyDescent="0.75">
      <c r="B35" s="10" t="str">
        <f>IF('eP-ConceptMap'!S30=0,"//---END",'eP-ConceptMap'!S30)</f>
        <v>* group[=].element[=].target.display = ##34###34#</v>
      </c>
    </row>
    <row r="36" spans="2:2" x14ac:dyDescent="0.75">
      <c r="B36" s="10" t="str">
        <f>IF('eP-ConceptMap'!S31=0,"//---END",'eP-ConceptMap'!S31)</f>
        <v>* group[=].element[=].target.equivalence = #equivalent</v>
      </c>
    </row>
    <row r="37" spans="2:2" x14ac:dyDescent="0.75">
      <c r="B37" s="10" t="str">
        <f>IF('eP-ConceptMap'!S32=0,"//---END",'eP-ConceptMap'!S32)</f>
        <v>* group[=].element[=].target.comment = ##34#if a prescription includes only one prescribed item##34#</v>
      </c>
    </row>
    <row r="38" spans="2:2" x14ac:dyDescent="0.75">
      <c r="B38" s="10" t="str">
        <f>IF('eP-ConceptMap'!S33=0,"//---END",'eP-ConceptMap'!S33)</f>
        <v>* group[=].element[+].code = #Prescription.authentication.identifier</v>
      </c>
    </row>
    <row r="39" spans="2:2" x14ac:dyDescent="0.75">
      <c r="B39" s="10" t="str">
        <f>IF('eP-ConceptMap'!S34=0,"//---END",'eP-ConceptMap'!S34)</f>
        <v>* group[=].element[=].display = ##34#A.1.2.1 Identifier of the Prescription##34#</v>
      </c>
    </row>
    <row r="40" spans="2:2" x14ac:dyDescent="0.75">
      <c r="B40" s="10" t="str">
        <f>IF('eP-ConceptMap'!S35=0,"//---END",'eP-ConceptMap'!S35)</f>
        <v>* group[=].element[=].target.code = #MedicationRequest.groupIdentifier</v>
      </c>
    </row>
    <row r="41" spans="2:2" x14ac:dyDescent="0.75">
      <c r="B41" s="10" t="str">
        <f>IF('eP-ConceptMap'!S36=0,"//---END",'eP-ConceptMap'!S36)</f>
        <v>* group[=].element[=].target.display = ##34###34#</v>
      </c>
    </row>
    <row r="42" spans="2:2" x14ac:dyDescent="0.75">
      <c r="B42" s="10" t="str">
        <f>IF('eP-ConceptMap'!S37=0,"//---END",'eP-ConceptMap'!S37)</f>
        <v>* group[=].element[=].target.equivalence = #equivalent</v>
      </c>
    </row>
    <row r="43" spans="2:2" x14ac:dyDescent="0.75">
      <c r="B43" s="10" t="str">
        <f>IF('eP-ConceptMap'!S38=0,"//---END",'eP-ConceptMap'!S38)</f>
        <v>* group[=].element[=].target.comment = ##34#if a prescription includes more then one prescribed item##34#</v>
      </c>
    </row>
    <row r="44" spans="2:2" x14ac:dyDescent="0.75">
      <c r="B44" s="10" t="str">
        <f>IF('eP-ConceptMap'!S39=0,"//---END",'eP-ConceptMap'!S39)</f>
        <v>* group[=].element[+].code = #Prescription.authentication.date</v>
      </c>
    </row>
    <row r="45" spans="2:2" x14ac:dyDescent="0.75">
      <c r="B45" s="10" t="str">
        <f>IF('eP-ConceptMap'!S40=0,"//---END",'eP-ConceptMap'!S40)</f>
        <v>* group[=].element[=].display = ##34#A.1.2.2 Issue date##34#</v>
      </c>
    </row>
    <row r="46" spans="2:2" x14ac:dyDescent="0.75">
      <c r="B46" s="10" t="str">
        <f>IF('eP-ConceptMap'!S41=0,"//---END",'eP-ConceptMap'!S41)</f>
        <v>* group[=].element[=].target.code = #MedicationRequest.authoredOn</v>
      </c>
    </row>
    <row r="47" spans="2:2" x14ac:dyDescent="0.75">
      <c r="B47" s="10" t="str">
        <f>IF('eP-ConceptMap'!S42=0,"//---END",'eP-ConceptMap'!S42)</f>
        <v>* group[=].element[=].target.display = ##34###34#</v>
      </c>
    </row>
    <row r="48" spans="2:2" x14ac:dyDescent="0.75">
      <c r="B48" s="10" t="str">
        <f>IF('eP-ConceptMap'!S43=0,"//---END",'eP-ConceptMap'!S43)</f>
        <v>* group[=].element[=].target.equivalence = #equivalent</v>
      </c>
    </row>
    <row r="49" spans="2:2" x14ac:dyDescent="0.75">
      <c r="B49" s="10" t="str">
        <f>IF('eP-ConceptMap'!S44=0,"//---END",'eP-ConceptMap'!S44)</f>
        <v/>
      </c>
    </row>
    <row r="50" spans="2:2" x14ac:dyDescent="0.75">
      <c r="B50" s="10" t="str">
        <f>IF('eP-ConceptMap'!S45=0,"//---END",'eP-ConceptMap'!S45)</f>
        <v>* group[=].element[+].code = #Prescription.prescriber</v>
      </c>
    </row>
    <row r="51" spans="2:2" x14ac:dyDescent="0.75">
      <c r="B51" s="10" t="str">
        <f>IF('eP-ConceptMap'!S46=0,"//---END",'eP-ConceptMap'!S46)</f>
        <v>* group[=].element[=].display = ##34#A.1.3 Identification of the prescribing health professional##34#</v>
      </c>
    </row>
    <row r="52" spans="2:2" x14ac:dyDescent="0.75">
      <c r="B52" s="10" t="str">
        <f>IF('eP-ConceptMap'!S47=0,"//---END",'eP-ConceptMap'!S47)</f>
        <v>* group[=].element[=].target.code = #MedicationRequest.requester</v>
      </c>
    </row>
    <row r="53" spans="2:2" x14ac:dyDescent="0.75">
      <c r="B53" s="10" t="str">
        <f>IF('eP-ConceptMap'!S48=0,"//---END",'eP-ConceptMap'!S48)</f>
        <v>* group[=].element[=].target.display = ##34###34#</v>
      </c>
    </row>
    <row r="54" spans="2:2" x14ac:dyDescent="0.75">
      <c r="B54" s="10" t="str">
        <f>IF('eP-ConceptMap'!S49=0,"//---END",'eP-ConceptMap'!S49)</f>
        <v>* group[=].element[=].target.equivalence = #equivalent</v>
      </c>
    </row>
    <row r="55" spans="2:2" x14ac:dyDescent="0.75">
      <c r="B55" s="10" t="str">
        <f>IF('eP-ConceptMap'!S50=0,"//---END",'eP-ConceptMap'!S50)</f>
        <v/>
      </c>
    </row>
    <row r="56" spans="2:2" x14ac:dyDescent="0.75">
      <c r="B56" s="10" t="str">
        <f>IF('eP-ConceptMap'!S51=0,"//---END",'eP-ConceptMap'!S51)</f>
        <v>* group[=].element[+].code = #Prescription.prescriber.familyName</v>
      </c>
    </row>
    <row r="57" spans="2:2" x14ac:dyDescent="0.75">
      <c r="B57" s="10" t="str">
        <f>IF('eP-ConceptMap'!S52=0,"//---END",'eP-ConceptMap'!S52)</f>
        <v>* group[=].element[=].display = ##34#A.1.3.1 Familyname##34#</v>
      </c>
    </row>
    <row r="58" spans="2:2" x14ac:dyDescent="0.75">
      <c r="B58" s="10" t="str">
        <f>IF('eP-ConceptMap'!S53=0,"//---END",'eP-ConceptMap'!S53)</f>
        <v>* group[=].element[=].target.code = #MedicationRequest.requester</v>
      </c>
    </row>
    <row r="59" spans="2:2" x14ac:dyDescent="0.75">
      <c r="B59" s="10" t="str">
        <f>IF('eP-ConceptMap'!S54=0,"//---END",'eP-ConceptMap'!S54)</f>
        <v>* group[=].element[=].target.display = ##34###34#</v>
      </c>
    </row>
    <row r="60" spans="2:2" x14ac:dyDescent="0.75">
      <c r="B60" s="10" t="str">
        <f>IF('eP-ConceptMap'!S55=0,"//---END",'eP-ConceptMap'!S55)</f>
        <v>* group[=].element[=].target.equivalence = #relatedto</v>
      </c>
    </row>
    <row r="61" spans="2:2" x14ac:dyDescent="0.75">
      <c r="B61" s="10" t="str">
        <f>IF('eP-ConceptMap'!S56=0,"//---END",'eP-ConceptMap'!S56)</f>
        <v>* group[=].element[=].target.comment = ##34#Details in the referred Practitioner resource##34#</v>
      </c>
    </row>
    <row r="62" spans="2:2" x14ac:dyDescent="0.75">
      <c r="B62" s="10" t="str">
        <f>IF('eP-ConceptMap'!S57=0,"//---END",'eP-ConceptMap'!S57)</f>
        <v>* group[=].element[+].code = #Prescription.prescriber.givenName</v>
      </c>
    </row>
    <row r="63" spans="2:2" x14ac:dyDescent="0.75">
      <c r="B63" s="10" t="str">
        <f>IF('eP-ConceptMap'!S58=0,"//---END",'eP-ConceptMap'!S58)</f>
        <v>* group[=].element[=].display = ##34#A.1.3.2 Given name##34#</v>
      </c>
    </row>
    <row r="64" spans="2:2" x14ac:dyDescent="0.75">
      <c r="B64" s="10" t="str">
        <f>IF('eP-ConceptMap'!S59=0,"//---END",'eP-ConceptMap'!S59)</f>
        <v>* group[=].element[=].target.code = #MedicationRequest.requester</v>
      </c>
    </row>
    <row r="65" spans="2:4" x14ac:dyDescent="0.75">
      <c r="B65" s="10" t="str">
        <f>IF('eP-ConceptMap'!S60=0,"//---END",'eP-ConceptMap'!S60)</f>
        <v>* group[=].element[=].target.display = ##34###34#</v>
      </c>
    </row>
    <row r="66" spans="2:4" x14ac:dyDescent="0.75">
      <c r="B66" s="10" t="str">
        <f>IF('eP-ConceptMap'!S61=0,"//---END",'eP-ConceptMap'!S61)</f>
        <v>* group[=].element[=].target.equivalence = #relatedto</v>
      </c>
    </row>
    <row r="67" spans="2:4" x14ac:dyDescent="0.75">
      <c r="B67" s="10" t="str">
        <f>IF('eP-ConceptMap'!S62=0,"//---END",'eP-ConceptMap'!S62)</f>
        <v>* group[=].element[=].target.comment = ##34#Details in the referred Practitioner resource##34#</v>
      </c>
    </row>
    <row r="68" spans="2:4" x14ac:dyDescent="0.75">
      <c r="B68" s="10" t="str">
        <f>IF('eP-ConceptMap'!S63=0,"//---END",'eP-ConceptMap'!S63)</f>
        <v>* group[=].element[+].code = #Prescription.prescriber.qualification</v>
      </c>
    </row>
    <row r="69" spans="2:4" x14ac:dyDescent="0.75">
      <c r="B69" s="10" t="str">
        <f>IF('eP-ConceptMap'!S64=0,"//---END",'eP-ConceptMap'!S64)</f>
        <v>* group[=].element[=].display = ##34#A.1.3.3 Professional qualifications##34#</v>
      </c>
    </row>
    <row r="70" spans="2:4" x14ac:dyDescent="0.75">
      <c r="B70" s="10" t="str">
        <f>IF('eP-ConceptMap'!S65=0,"//---END",'eP-ConceptMap'!S65)</f>
        <v>* group[=].element[=].target.code = #MedicationRequest.requester</v>
      </c>
      <c r="D70" s="49"/>
    </row>
    <row r="71" spans="2:4" x14ac:dyDescent="0.75">
      <c r="B71" s="10" t="str">
        <f>IF('eP-ConceptMap'!S66=0,"//---END",'eP-ConceptMap'!S66)</f>
        <v>* group[=].element[=].target.display = ##34###34#</v>
      </c>
    </row>
    <row r="72" spans="2:4" x14ac:dyDescent="0.75">
      <c r="B72" s="10" t="str">
        <f>IF('eP-ConceptMap'!S67=0,"//---END",'eP-ConceptMap'!S67)</f>
        <v>* group[=].element[=].target.equivalence = #relatedto</v>
      </c>
    </row>
    <row r="73" spans="2:4" x14ac:dyDescent="0.75">
      <c r="B73" s="10" t="str">
        <f>IF('eP-ConceptMap'!S68=0,"//---END",'eP-ConceptMap'!S68)</f>
        <v>* group[=].element[=].target.comment = ##34#Details in the referred Practitioner resource##34#</v>
      </c>
    </row>
    <row r="74" spans="2:4" x14ac:dyDescent="0.75">
      <c r="B74" s="10" t="str">
        <f>IF('eP-ConceptMap'!S69=0,"//---END",'eP-ConceptMap'!S69)</f>
        <v>* group[=].element[+].code = #Prescription.prescriber.contact</v>
      </c>
    </row>
    <row r="75" spans="2:4" x14ac:dyDescent="0.75">
      <c r="B75" s="10" t="str">
        <f>IF('eP-ConceptMap'!S70=0,"//---END",'eP-ConceptMap'!S70)</f>
        <v>* group[=].element[=].display = ##34#A.1.3.4 Details for direct contact##34#</v>
      </c>
    </row>
    <row r="76" spans="2:4" x14ac:dyDescent="0.75">
      <c r="B76" s="10" t="str">
        <f>IF('eP-ConceptMap'!S71=0,"//---END",'eP-ConceptMap'!S71)</f>
        <v>* group[=].element[=].target.code = #MedicationRequest.requester</v>
      </c>
    </row>
    <row r="77" spans="2:4" x14ac:dyDescent="0.75">
      <c r="B77" s="10" t="str">
        <f>IF('eP-ConceptMap'!S72=0,"//---END",'eP-ConceptMap'!S72)</f>
        <v>* group[=].element[=].target.display = ##34###34#</v>
      </c>
    </row>
    <row r="78" spans="2:4" x14ac:dyDescent="0.75">
      <c r="B78" s="10" t="str">
        <f>IF('eP-ConceptMap'!S73=0,"//---END",'eP-ConceptMap'!S73)</f>
        <v>* group[=].element[=].target.equivalence = #relatedto</v>
      </c>
    </row>
    <row r="79" spans="2:4" x14ac:dyDescent="0.75">
      <c r="B79" s="10" t="str">
        <f>IF('eP-ConceptMap'!S74=0,"//---END",'eP-ConceptMap'!S74)</f>
        <v>* group[=].element[=].target.comment = ##34#Details in the referred Practitioner resource##34#</v>
      </c>
    </row>
    <row r="80" spans="2:4" x14ac:dyDescent="0.75">
      <c r="B80" s="10" t="str">
        <f>IF('eP-ConceptMap'!S75=0,"//---END",'eP-ConceptMap'!S75)</f>
        <v>* group[=].element[+].code = #Prescription.prescriber.workAddress</v>
      </c>
    </row>
    <row r="81" spans="2:2" x14ac:dyDescent="0.75">
      <c r="B81" s="10" t="str">
        <f>IF('eP-ConceptMap'!S76=0,"//---END",'eP-ConceptMap'!S76)</f>
        <v>* group[=].element[=].display = ##34#A.1.3.5 Work address##34#</v>
      </c>
    </row>
    <row r="82" spans="2:2" x14ac:dyDescent="0.75">
      <c r="B82" s="10" t="str">
        <f>IF('eP-ConceptMap'!S77=0,"//---END",'eP-ConceptMap'!S77)</f>
        <v>* group[=].element[=].target.code = #MedicationRequest.requester</v>
      </c>
    </row>
    <row r="83" spans="2:2" x14ac:dyDescent="0.75">
      <c r="B83" s="10" t="str">
        <f>IF('eP-ConceptMap'!S78=0,"//---END",'eP-ConceptMap'!S78)</f>
        <v>* group[=].element[=].target.display = ##34###34#</v>
      </c>
    </row>
    <row r="84" spans="2:2" x14ac:dyDescent="0.75">
      <c r="B84" s="10" t="str">
        <f>IF('eP-ConceptMap'!S79=0,"//---END",'eP-ConceptMap'!S79)</f>
        <v>* group[=].element[=].target.equivalence = #relatedto</v>
      </c>
    </row>
    <row r="85" spans="2:2" x14ac:dyDescent="0.75">
      <c r="B85" s="10" t="str">
        <f>IF('eP-ConceptMap'!S80=0,"//---END",'eP-ConceptMap'!S80)</f>
        <v>* group[=].element[=].target.comment = ##34#Details in the referred Practitioner resource##34#</v>
      </c>
    </row>
    <row r="86" spans="2:2" x14ac:dyDescent="0.75">
      <c r="B86" s="10" t="str">
        <f>IF('eP-ConceptMap'!S81=0,"//---END",'eP-ConceptMap'!S81)</f>
        <v>* group[=].element[+].code = #Prescription.prescriber.signature</v>
      </c>
    </row>
    <row r="87" spans="2:2" x14ac:dyDescent="0.75">
      <c r="B87" s="10" t="str">
        <f>IF('eP-ConceptMap'!S82=0,"//---END",'eP-ConceptMap'!S82)</f>
        <v>* group[=].element[=].display = ##34#A.1.3.6 Signature##34#</v>
      </c>
    </row>
    <row r="88" spans="2:2" x14ac:dyDescent="0.75">
      <c r="B88" s="10" t="str">
        <f>IF('eP-ConceptMap'!S83=0,"//---END",'eP-ConceptMap'!S83)</f>
        <v>* group[=].element[=].target.code = #MedicationRequest.requester</v>
      </c>
    </row>
    <row r="89" spans="2:2" x14ac:dyDescent="0.75">
      <c r="B89" s="10" t="str">
        <f>IF('eP-ConceptMap'!S84=0,"//---END",'eP-ConceptMap'!S84)</f>
        <v>* group[=].element[=].target.display = ##34###34#</v>
      </c>
    </row>
    <row r="90" spans="2:2" x14ac:dyDescent="0.75">
      <c r="B90" s="10" t="str">
        <f>IF('eP-ConceptMap'!S85=0,"//---END",'eP-ConceptMap'!S85)</f>
        <v>* group[=].element[=].target.equivalence = #relatedto</v>
      </c>
    </row>
    <row r="91" spans="2:2" x14ac:dyDescent="0.75">
      <c r="B91" s="10" t="str">
        <f>IF('eP-ConceptMap'!S86=0,"//---END",'eP-ConceptMap'!S86)</f>
        <v>* group[=].element[=].target.comment = ##34#Not implemented in the current eP / eD service##34#</v>
      </c>
    </row>
    <row r="92" spans="2:2" x14ac:dyDescent="0.75">
      <c r="B92" s="10" t="str">
        <f>IF('eP-ConceptMap'!S87=0,"//---END",'eP-ConceptMap'!S87)</f>
        <v>* group[=].element[+].code = #Prescription.prescriber.identifier</v>
      </c>
    </row>
    <row r="93" spans="2:2" x14ac:dyDescent="0.75">
      <c r="B93" s="10" t="str">
        <f>IF('eP-ConceptMap'!S88=0,"//---END",'eP-ConceptMap'!S88)</f>
        <v>* group[=].element[=].display = ##34#A.1.3.7  Health care provider identifier##34#</v>
      </c>
    </row>
    <row r="94" spans="2:2" x14ac:dyDescent="0.75">
      <c r="B94" s="10" t="str">
        <f>IF('eP-ConceptMap'!S89=0,"//---END",'eP-ConceptMap'!S89)</f>
        <v>* group[=].element[=].target.code = #MedicationRequest.requester</v>
      </c>
    </row>
    <row r="95" spans="2:2" x14ac:dyDescent="0.75">
      <c r="B95" s="10" t="str">
        <f>IF('eP-ConceptMap'!S90=0,"//---END",'eP-ConceptMap'!S90)</f>
        <v>* group[=].element[=].target.display = ##34###34#</v>
      </c>
    </row>
    <row r="96" spans="2:2" x14ac:dyDescent="0.75">
      <c r="B96" s="10" t="str">
        <f>IF('eP-ConceptMap'!S91=0,"//---END",'eP-ConceptMap'!S91)</f>
        <v>* group[=].element[=].target.equivalence = #relatedto</v>
      </c>
    </row>
    <row r="97" spans="2:2" x14ac:dyDescent="0.75">
      <c r="B97" s="10" t="str">
        <f>IF('eP-ConceptMap'!S92=0,"//---END",'eP-ConceptMap'!S92)</f>
        <v>* group[=].element[=].target.comment = ##34#Details in the referred Practitioner resource##34#</v>
      </c>
    </row>
    <row r="98" spans="2:2" x14ac:dyDescent="0.75">
      <c r="B98" s="10" t="str">
        <f>IF('eP-ConceptMap'!S93=0,"//---END",'eP-ConceptMap'!S93)</f>
        <v>* group[=].element[+].code = #Prescription.product</v>
      </c>
    </row>
    <row r="99" spans="2:2" x14ac:dyDescent="0.75">
      <c r="B99" s="10" t="str">
        <f>IF('eP-ConceptMap'!S94=0,"//---END",'eP-ConceptMap'!S94)</f>
        <v>* group[=].element[=].display = ##34#A1.4 Identification of the prescribed product##34#</v>
      </c>
    </row>
    <row r="100" spans="2:2" x14ac:dyDescent="0.75">
      <c r="B100" s="10" t="str">
        <f>IF('eP-ConceptMap'!S95=0,"//---END",'eP-ConceptMap'!S95)</f>
        <v>* group[=].element[=].target.code = #MedicationRequest.medicationReference</v>
      </c>
    </row>
    <row r="101" spans="2:2" x14ac:dyDescent="0.75">
      <c r="B101" s="10" t="str">
        <f>IF('eP-ConceptMap'!S96=0,"//---END",'eP-ConceptMap'!S96)</f>
        <v>* group[=].element[=].target.display = ##34###34#</v>
      </c>
    </row>
    <row r="102" spans="2:2" x14ac:dyDescent="0.75">
      <c r="B102" s="10" t="str">
        <f>IF('eP-ConceptMap'!S97=0,"//---END",'eP-ConceptMap'!S97)</f>
        <v>* group[=].element[=].target.equivalence = #equivalent</v>
      </c>
    </row>
    <row r="103" spans="2:2" x14ac:dyDescent="0.75">
      <c r="B103" s="10" t="str">
        <f>IF('eP-ConceptMap'!S98=0,"//---END",'eP-ConceptMap'!S98)</f>
        <v/>
      </c>
    </row>
    <row r="104" spans="2:2" x14ac:dyDescent="0.75">
      <c r="B104" s="10" t="str">
        <f>IF('eP-ConceptMap'!S99=0,"//---END",'eP-ConceptMap'!S99)</f>
        <v>* group[=].element[+].code = #Prescription.details</v>
      </c>
    </row>
    <row r="105" spans="2:2" x14ac:dyDescent="0.75">
      <c r="B105" s="10" t="str">
        <f>IF('eP-ConceptMap'!S100=0,"//---END",'eP-ConceptMap'!S100)</f>
        <v>* group[=].element[=].display = ##34#A.1.5 Prescription information##34#</v>
      </c>
    </row>
    <row r="106" spans="2:2" x14ac:dyDescent="0.75">
      <c r="B106" s="10" t="str">
        <f>IF('eP-ConceptMap'!S101=0,"//---END",'eP-ConceptMap'!S101)</f>
        <v>* group[=].element[=].target.code = #MedicationRequest</v>
      </c>
    </row>
    <row r="107" spans="2:2" x14ac:dyDescent="0.75">
      <c r="B107" s="10" t="str">
        <f>IF('eP-ConceptMap'!S102=0,"//---END",'eP-ConceptMap'!S102)</f>
        <v>* group[=].element[=].target.display = ##34###34#</v>
      </c>
    </row>
    <row r="108" spans="2:2" x14ac:dyDescent="0.75">
      <c r="B108" s="10" t="str">
        <f>IF('eP-ConceptMap'!S103=0,"//---END",'eP-ConceptMap'!S103)</f>
        <v>* group[=].element[=].target.equivalence = #relatedto</v>
      </c>
    </row>
    <row r="109" spans="2:2" x14ac:dyDescent="0.75">
      <c r="B109" s="10" t="str">
        <f>IF('eP-ConceptMap'!S104=0,"//---END",'eP-ConceptMap'!S104)</f>
        <v/>
      </c>
    </row>
    <row r="110" spans="2:2" x14ac:dyDescent="0.75">
      <c r="B110" s="10" t="str">
        <f>IF('eP-ConceptMap'!S105=0,"//---END",'eP-ConceptMap'!S105)</f>
        <v>* group[=].element[+].code = #Prescription.details.quantity</v>
      </c>
    </row>
    <row r="111" spans="2:2" x14ac:dyDescent="0.75">
      <c r="B111" s="10" t="str">
        <f>IF('eP-ConceptMap'!S106=0,"//---END",'eP-ConceptMap'!S106)</f>
        <v>* group[=].element[=].display = ##34#A.1.5.2 Quantity of prescribed product##34#</v>
      </c>
    </row>
    <row r="112" spans="2:2" x14ac:dyDescent="0.75">
      <c r="B112" s="10" t="str">
        <f>IF('eP-ConceptMap'!S107=0,"//---END",'eP-ConceptMap'!S107)</f>
        <v>* group[=].element[=].target.code = #MedicationRequest.dispenseRequest.quantity</v>
      </c>
    </row>
    <row r="113" spans="2:2" x14ac:dyDescent="0.75">
      <c r="B113" s="10" t="str">
        <f>IF('eP-ConceptMap'!S108=0,"//---END",'eP-ConceptMap'!S108)</f>
        <v>* group[=].element[=].target.display = ##34###34#</v>
      </c>
    </row>
    <row r="114" spans="2:2" x14ac:dyDescent="0.75">
      <c r="B114" s="10" t="str">
        <f>IF('eP-ConceptMap'!S109=0,"//---END",'eP-ConceptMap'!S109)</f>
        <v>* group[=].element[=].target.equivalence = #relatedto</v>
      </c>
    </row>
    <row r="115" spans="2:2" x14ac:dyDescent="0.75">
      <c r="B115" s="10" t="str">
        <f>IF('eP-ConceptMap'!S110=0,"//---END",'eP-ConceptMap'!S110)</f>
        <v/>
      </c>
    </row>
    <row r="116" spans="2:2" x14ac:dyDescent="0.75">
      <c r="B116" s="10" t="str">
        <f>IF('eP-ConceptMap'!S111=0,"//---END",'eP-ConceptMap'!S111)</f>
        <v>* group[=].element[+].code = #Prescription.details.doseRegimen</v>
      </c>
    </row>
    <row r="117" spans="2:2" x14ac:dyDescent="0.75">
      <c r="B117" s="10" t="str">
        <f>IF('eP-ConceptMap'!S112=0,"//---END",'eP-ConceptMap'!S112)</f>
        <v>* group[=].element[=].display = ##34#A.1.5.3 Dose regimen##34#</v>
      </c>
    </row>
    <row r="118" spans="2:2" x14ac:dyDescent="0.75">
      <c r="B118" s="10" t="str">
        <f>IF('eP-ConceptMap'!S113=0,"//---END",'eP-ConceptMap'!S113)</f>
        <v>* group[=].element[=].target.code = #MedicationRequest.dosageInstruction</v>
      </c>
    </row>
    <row r="119" spans="2:2" x14ac:dyDescent="0.75">
      <c r="B119" s="10" t="str">
        <f>IF('eP-ConceptMap'!S114=0,"//---END",'eP-ConceptMap'!S114)</f>
        <v>* group[=].element[=].target.display = ##34###34#</v>
      </c>
    </row>
    <row r="120" spans="2:2" x14ac:dyDescent="0.75">
      <c r="B120" s="10" t="str">
        <f>IF('eP-ConceptMap'!S115=0,"//---END",'eP-ConceptMap'!S115)</f>
        <v>* group[=].element[=].target.equivalence = #equivalent</v>
      </c>
    </row>
    <row r="121" spans="2:2" x14ac:dyDescent="0.75">
      <c r="B121" s="10" t="str">
        <f>IF('eP-ConceptMap'!S116=0,"//---END",'eP-ConceptMap'!S116)</f>
        <v/>
      </c>
    </row>
    <row r="122" spans="2:2" x14ac:dyDescent="0.75">
      <c r="B122" s="10" t="str">
        <f>IF('eP-ConceptMap'!S117=0,"//---END",'eP-ConceptMap'!S117)</f>
        <v>* group[=].element[+].code = #Prescription.details.doseRegimen.numOfIntakes</v>
      </c>
    </row>
    <row r="123" spans="2:2" x14ac:dyDescent="0.75">
      <c r="B123" s="10" t="str">
        <f>IF('eP-ConceptMap'!S118=0,"//---END",'eP-ConceptMap'!S118)</f>
        <v>* group[=].element[=].display = ##34#A.1.5.3.1 Number of units per intake##34#</v>
      </c>
    </row>
    <row r="124" spans="2:2" x14ac:dyDescent="0.75">
      <c r="B124" s="10" t="str">
        <f>IF('eP-ConceptMap'!S119=0,"//---END",'eP-ConceptMap'!S119)</f>
        <v>* group[=].element[=].target.code = #MedicationRequest.dosageInstruction.doseAndRate.doseQuantity</v>
      </c>
    </row>
    <row r="125" spans="2:2" x14ac:dyDescent="0.75">
      <c r="B125" s="10" t="str">
        <f>IF('eP-ConceptMap'!S120=0,"//---END",'eP-ConceptMap'!S120)</f>
        <v>* group[=].element[=].target.display = ##34###34#</v>
      </c>
    </row>
    <row r="126" spans="2:2" x14ac:dyDescent="0.75">
      <c r="B126" s="10" t="str">
        <f>IF('eP-ConceptMap'!S121=0,"//---END",'eP-ConceptMap'!S121)</f>
        <v>* group[=].element[=].target.equivalence = #equivalent</v>
      </c>
    </row>
    <row r="127" spans="2:2" x14ac:dyDescent="0.75">
      <c r="B127" s="10" t="str">
        <f>IF('eP-ConceptMap'!S122=0,"//---END",'eP-ConceptMap'!S122)</f>
        <v/>
      </c>
    </row>
    <row r="128" spans="2:2" x14ac:dyDescent="0.75">
      <c r="B128" s="10" t="str">
        <f>IF('eP-ConceptMap'!S123=0,"//---END",'eP-ConceptMap'!S123)</f>
        <v>* group[=].element[+].code = #Prescription.details.doseRegimen.frequencyOfIntakes</v>
      </c>
    </row>
    <row r="129" spans="2:2" x14ac:dyDescent="0.75">
      <c r="B129" s="10" t="str">
        <f>IF('eP-ConceptMap'!S124=0,"//---END",'eP-ConceptMap'!S124)</f>
        <v>* group[=].element[=].display = ##34#A.1.5.3.2 Frequency of intakes##34#</v>
      </c>
    </row>
    <row r="130" spans="2:2" x14ac:dyDescent="0.75">
      <c r="B130" s="10" t="str">
        <f>IF('eP-ConceptMap'!S125=0,"//---END",'eP-ConceptMap'!S125)</f>
        <v>* group[=].element[=].target.code = #MedicationRequest.dosageInstruction.timing</v>
      </c>
    </row>
    <row r="131" spans="2:2" x14ac:dyDescent="0.75">
      <c r="B131" s="10" t="str">
        <f>IF('eP-ConceptMap'!S126=0,"//---END",'eP-ConceptMap'!S126)</f>
        <v>* group[=].element[=].target.display = ##34###34#</v>
      </c>
    </row>
    <row r="132" spans="2:2" x14ac:dyDescent="0.75">
      <c r="B132" s="10" t="str">
        <f>IF('eP-ConceptMap'!S127=0,"//---END",'eP-ConceptMap'!S127)</f>
        <v>* group[=].element[=].target.equivalence = #relatedto</v>
      </c>
    </row>
    <row r="133" spans="2:2" ht="29.5" x14ac:dyDescent="0.75">
      <c r="B133" s="10" t="str">
        <f>IF('eP-ConceptMap'!S128=0,"//---END",'eP-ConceptMap'!S128)</f>
        <v>* group[=].element[=].target.comment = ##34#A combination of frequency, period and periodUnit.
'3 times per day', 3 would be the frequency and '1 day' would be the period/periodUnit.##34#</v>
      </c>
    </row>
    <row r="134" spans="2:2" x14ac:dyDescent="0.75">
      <c r="B134" s="10" t="str">
        <f>IF('eP-ConceptMap'!S129=0,"//---END",'eP-ConceptMap'!S129)</f>
        <v>* group[=].element[+].code = #Prescription.details.route</v>
      </c>
    </row>
    <row r="135" spans="2:2" x14ac:dyDescent="0.75">
      <c r="B135" s="10" t="str">
        <f>IF('eP-ConceptMap'!S130=0,"//---END",'eP-ConceptMap'!S130)</f>
        <v>* group[=].element[=].display = ##34#A.1.5.4 Route of administration##34#</v>
      </c>
    </row>
    <row r="136" spans="2:2" x14ac:dyDescent="0.75">
      <c r="B136" s="10" t="str">
        <f>IF('eP-ConceptMap'!S131=0,"//---END",'eP-ConceptMap'!S131)</f>
        <v>* group[=].element[=].target.code = #MedicationRequest.dosageInstruction.route</v>
      </c>
    </row>
    <row r="137" spans="2:2" x14ac:dyDescent="0.75">
      <c r="B137" s="10" t="str">
        <f>IF('eP-ConceptMap'!S132=0,"//---END",'eP-ConceptMap'!S132)</f>
        <v>* group[=].element[=].target.display = ##34###34#</v>
      </c>
    </row>
    <row r="138" spans="2:2" x14ac:dyDescent="0.75">
      <c r="B138" s="10" t="str">
        <f>IF('eP-ConceptMap'!S133=0,"//---END",'eP-ConceptMap'!S133)</f>
        <v>* group[=].element[=].target.equivalence = #equivalent</v>
      </c>
    </row>
    <row r="139" spans="2:2" x14ac:dyDescent="0.75">
      <c r="B139" s="10" t="str">
        <f>IF('eP-ConceptMap'!S134=0,"//---END",'eP-ConceptMap'!S134)</f>
        <v/>
      </c>
    </row>
    <row r="140" spans="2:2" x14ac:dyDescent="0.75">
      <c r="B140" s="10" t="str">
        <f>IF('eP-ConceptMap'!S135=0,"//---END",'eP-ConceptMap'!S135)</f>
        <v>* group[=].element[+].code = #Prescription.details.duration</v>
      </c>
    </row>
    <row r="141" spans="2:2" x14ac:dyDescent="0.75">
      <c r="B141" s="10" t="str">
        <f>IF('eP-ConceptMap'!S136=0,"//---END",'eP-ConceptMap'!S136)</f>
        <v>* group[=].element[=].display = ##34#A.1.5.5 Duration of treatment##34#</v>
      </c>
    </row>
    <row r="142" spans="2:2" x14ac:dyDescent="0.75">
      <c r="B142" s="10" t="str">
        <f>IF('eP-ConceptMap'!S137=0,"//---END",'eP-ConceptMap'!S137)</f>
        <v>* group[=].element[=].target.code = #MedicationRequest.dosageInstruction.timing.repeat.duration</v>
      </c>
    </row>
    <row r="143" spans="2:2" x14ac:dyDescent="0.75">
      <c r="B143" s="10" t="str">
        <f>IF('eP-ConceptMap'!S138=0,"//---END",'eP-ConceptMap'!S138)</f>
        <v>* group[=].element[=].target.display = ##34###34#</v>
      </c>
    </row>
    <row r="144" spans="2:2" x14ac:dyDescent="0.75">
      <c r="B144" s="10" t="str">
        <f>IF('eP-ConceptMap'!S139=0,"//---END",'eP-ConceptMap'!S139)</f>
        <v>* group[=].element[=].target.equivalence = #equivalent</v>
      </c>
    </row>
    <row r="145" spans="2:2" x14ac:dyDescent="0.75">
      <c r="B145" s="10" t="str">
        <f>IF('eP-ConceptMap'!S140=0,"//---END",'eP-ConceptMap'!S140)</f>
        <v/>
      </c>
    </row>
    <row r="146" spans="2:2" x14ac:dyDescent="0.75">
      <c r="B146" s="10" t="str">
        <f>IF('eP-ConceptMap'!S141=0,"//---END",'eP-ConceptMap'!S141)</f>
        <v>* group[=].element[+].code = #Prescription.details.startDate</v>
      </c>
    </row>
    <row r="147" spans="2:2" x14ac:dyDescent="0.75">
      <c r="B147" s="10" t="str">
        <f>IF('eP-ConceptMap'!S142=0,"//---END",'eP-ConceptMap'!S142)</f>
        <v>* group[=].element[=].display = ##34#A.1.5.6 Starting date of therapy ##34#</v>
      </c>
    </row>
    <row r="148" spans="2:2" x14ac:dyDescent="0.75">
      <c r="B148" s="10" t="str">
        <f>IF('eP-ConceptMap'!S143=0,"//---END",'eP-ConceptMap'!S143)</f>
        <v>* group[=].element[=].target.code = #MedicationRequest.dosageInstruction.timing.duration</v>
      </c>
    </row>
    <row r="149" spans="2:2" x14ac:dyDescent="0.75">
      <c r="B149" s="10" t="str">
        <f>IF('eP-ConceptMap'!S144=0,"//---END",'eP-ConceptMap'!S144)</f>
        <v>* group[=].element[=].target.display = ##34###34#</v>
      </c>
    </row>
    <row r="150" spans="2:2" x14ac:dyDescent="0.75">
      <c r="B150" s="10" t="str">
        <f>IF('eP-ConceptMap'!S145=0,"//---END",'eP-ConceptMap'!S145)</f>
        <v>* group[=].element[=].target.equivalence = #relatedto</v>
      </c>
    </row>
    <row r="151" spans="2:2" x14ac:dyDescent="0.75">
      <c r="B151" s="10" t="str">
        <f>IF('eP-ConceptMap'!S146=0,"//---END",'eP-ConceptMap'!S146)</f>
        <v/>
      </c>
    </row>
    <row r="152" spans="2:2" x14ac:dyDescent="0.75">
      <c r="B152" s="10" t="str">
        <f>IF('eP-ConceptMap'!S147=0,"//---END",'eP-ConceptMap'!S147)</f>
        <v>* group[=].element[+].code = #Prescription.details.directionsOfUse</v>
      </c>
    </row>
    <row r="153" spans="2:2" x14ac:dyDescent="0.75">
      <c r="B153" s="10" t="str">
        <f>IF('eP-ConceptMap'!S148=0,"//---END",'eP-ConceptMap'!S148)</f>
        <v>* group[=].element[=].display = ##34#A.1.5.7 Directions for use##34#</v>
      </c>
    </row>
    <row r="154" spans="2:2" x14ac:dyDescent="0.75">
      <c r="B154" s="10" t="str">
        <f>IF('eP-ConceptMap'!S149=0,"//---END",'eP-ConceptMap'!S149)</f>
        <v>* group[=].element[=].target.code = #MedicationRequest.dosageInstruction</v>
      </c>
    </row>
    <row r="155" spans="2:2" x14ac:dyDescent="0.75">
      <c r="B155" s="10" t="str">
        <f>IF('eP-ConceptMap'!S150=0,"//---END",'eP-ConceptMap'!S150)</f>
        <v>* group[=].element[=].target.display = ##34###34#</v>
      </c>
    </row>
    <row r="156" spans="2:2" x14ac:dyDescent="0.75">
      <c r="B156" s="10" t="str">
        <f>IF('eP-ConceptMap'!S151=0,"//---END",'eP-ConceptMap'!S151)</f>
        <v>* group[=].element[=].target.equivalence = #relatedto</v>
      </c>
    </row>
    <row r="157" spans="2:2" x14ac:dyDescent="0.75">
      <c r="B157" s="10" t="str">
        <f>IF('eP-ConceptMap'!S152=0,"//---END",'eP-ConceptMap'!S152)</f>
        <v/>
      </c>
    </row>
    <row r="158" spans="2:2" x14ac:dyDescent="0.75">
      <c r="B158" s="10" t="str">
        <f>IF('eP-ConceptMap'!S153=0,"//---END",'eP-ConceptMap'!S153)</f>
        <v>* group[=].element[+].code = #Prescription.details.expiryDate</v>
      </c>
    </row>
    <row r="159" spans="2:2" x14ac:dyDescent="0.75">
      <c r="B159" s="10" t="str">
        <f>IF('eP-ConceptMap'!S154=0,"//---END",'eP-ConceptMap'!S154)</f>
        <v>* group[=].element[=].display = ##34#A.1.5.8 Prescription expiry date##34#</v>
      </c>
    </row>
    <row r="160" spans="2:2" x14ac:dyDescent="0.75">
      <c r="B160" s="10" t="str">
        <f>IF('eP-ConceptMap'!S155=0,"//---END",'eP-ConceptMap'!S155)</f>
        <v>* group[=].element[=].target.code = #MedicationRequest.dispenseRequest.validityPeriod</v>
      </c>
    </row>
    <row r="161" spans="2:2" x14ac:dyDescent="0.75">
      <c r="B161" s="10" t="str">
        <f>IF('eP-ConceptMap'!S156=0,"//---END",'eP-ConceptMap'!S156)</f>
        <v>* group[=].element[=].target.display = ##34###34#</v>
      </c>
    </row>
    <row r="162" spans="2:2" x14ac:dyDescent="0.75">
      <c r="B162" s="10" t="str">
        <f>IF('eP-ConceptMap'!S157=0,"//---END",'eP-ConceptMap'!S157)</f>
        <v>* group[=].element[=].target.equivalence = #equivalent</v>
      </c>
    </row>
    <row r="163" spans="2:2" x14ac:dyDescent="0.75">
      <c r="B163" s="10" t="str">
        <f>IF('eP-ConceptMap'!S158=0,"//---END",'eP-ConceptMap'!S158)</f>
        <v/>
      </c>
    </row>
    <row r="164" spans="2:2" x14ac:dyDescent="0.75">
      <c r="B164" s="10" t="str">
        <f>IF('eP-ConceptMap'!S159=0,"//---END",'eP-ConceptMap'!S159)</f>
        <v>* group[=].element[+].code = #Prescription.details.repeats</v>
      </c>
    </row>
    <row r="165" spans="2:2" x14ac:dyDescent="0.75">
      <c r="B165" s="10" t="str">
        <f>IF('eP-ConceptMap'!S160=0,"//---END",'eP-ConceptMap'!S160)</f>
        <v>* group[=].element[=].display = ##34#A.1.5.9 Repeats##34#</v>
      </c>
    </row>
    <row r="166" spans="2:2" x14ac:dyDescent="0.75">
      <c r="B166" s="10" t="str">
        <f>IF('eP-ConceptMap'!S161=0,"//---END",'eP-ConceptMap'!S161)</f>
        <v>* group[=].element[=].target.code = #MedicationRequest</v>
      </c>
    </row>
    <row r="167" spans="2:2" x14ac:dyDescent="0.75">
      <c r="B167" s="10" t="str">
        <f>IF('eP-ConceptMap'!S162=0,"//---END",'eP-ConceptMap'!S162)</f>
        <v>* group[=].element[=].target.display = ##34###34#</v>
      </c>
    </row>
    <row r="168" spans="2:2" x14ac:dyDescent="0.75">
      <c r="B168" s="10" t="str">
        <f>IF('eP-ConceptMap'!S163=0,"//---END",'eP-ConceptMap'!S163)</f>
        <v>* group[=].element[=].target.equivalence = #relatedto</v>
      </c>
    </row>
    <row r="169" spans="2:2" x14ac:dyDescent="0.75">
      <c r="B169" s="10" t="str">
        <f>IF('eP-ConceptMap'!S164=0,"//---END",'eP-ConceptMap'!S164)</f>
        <v>* group[=].element[=].target.comment = ##34#TO BE DISCUSSED##34#</v>
      </c>
    </row>
    <row r="170" spans="2:2" x14ac:dyDescent="0.75">
      <c r="B170" s="10" t="str">
        <f>IF('eP-ConceptMap'!S165=0,"//---END",'eP-ConceptMap'!S165)</f>
        <v>* group[=].element[+].code = #Prescription.details.reason</v>
      </c>
    </row>
    <row r="171" spans="2:2" x14ac:dyDescent="0.75">
      <c r="B171" s="10" t="str">
        <f>IF('eP-ConceptMap'!S166=0,"//---END",'eP-ConceptMap'!S166)</f>
        <v>* group[=].element[=].display = ##34#A.1.5.10 Reason for prescription##34#</v>
      </c>
    </row>
    <row r="172" spans="2:2" x14ac:dyDescent="0.75">
      <c r="B172" s="10" t="str">
        <f>IF('eP-ConceptMap'!S167=0,"//---END",'eP-ConceptMap'!S167)</f>
        <v>* group[=].element[=].target.code = #MedicationRequest.reasonReference</v>
      </c>
    </row>
    <row r="173" spans="2:2" x14ac:dyDescent="0.75">
      <c r="B173" s="10" t="str">
        <f>IF('eP-ConceptMap'!S168=0,"//---END",'eP-ConceptMap'!S168)</f>
        <v>* group[=].element[=].target.display = ##34###34#</v>
      </c>
    </row>
    <row r="174" spans="2:2" x14ac:dyDescent="0.75">
      <c r="B174" s="10" t="str">
        <f>IF('eP-ConceptMap'!S169=0,"//---END",'eP-ConceptMap'!S169)</f>
        <v>* group[=].element[=].target.equivalence = #relatedto</v>
      </c>
    </row>
    <row r="175" spans="2:2" x14ac:dyDescent="0.75">
      <c r="B175" s="10" t="str">
        <f>IF('eP-ConceptMap'!S170=0,"//---END",'eP-ConceptMap'!S170)</f>
        <v/>
      </c>
    </row>
    <row r="176" spans="2:2" x14ac:dyDescent="0.75">
      <c r="B176" s="10" t="str">
        <f>IF('eP-ConceptMap'!S171=0,"//---END",'eP-ConceptMap'!S171)</f>
        <v>* group[=].element[+].code = #Prescription.details.reason</v>
      </c>
    </row>
    <row r="177" spans="2:2" x14ac:dyDescent="0.75">
      <c r="B177" s="10" t="str">
        <f>IF('eP-ConceptMap'!S172=0,"//---END",'eP-ConceptMap'!S172)</f>
        <v>* group[=].element[=].display = ##34#A.1.5.10 Reason for prescription##34#</v>
      </c>
    </row>
    <row r="178" spans="2:2" x14ac:dyDescent="0.75">
      <c r="B178" s="10" t="str">
        <f>IF('eP-ConceptMap'!S173=0,"//---END",'eP-ConceptMap'!S173)</f>
        <v>* group[=].element[=].target.code = #MedicationRequest.reasonCode</v>
      </c>
    </row>
    <row r="179" spans="2:2" x14ac:dyDescent="0.75">
      <c r="B179" s="10" t="str">
        <f>IF('eP-ConceptMap'!S174=0,"//---END",'eP-ConceptMap'!S174)</f>
        <v>* group[=].element[=].target.display = ##34###34#</v>
      </c>
    </row>
    <row r="180" spans="2:2" x14ac:dyDescent="0.75">
      <c r="B180" s="10" t="str">
        <f>IF('eP-ConceptMap'!S175=0,"//---END",'eP-ConceptMap'!S175)</f>
        <v>* group[=].element[=].target.equivalence = #equivalent</v>
      </c>
    </row>
    <row r="181" spans="2:2" x14ac:dyDescent="0.75">
      <c r="B181" s="10" t="str">
        <f>IF('eP-ConceptMap'!S176=0,"//---END",'eP-ConceptMap'!S176)</f>
        <v/>
      </c>
    </row>
    <row r="182" spans="2:2" x14ac:dyDescent="0.75">
      <c r="B182" s="10" t="str">
        <f>IF('eP-ConceptMap'!S177=0,"//---END",'eP-ConceptMap'!S177)</f>
        <v>* group[=].element[+].code = #Prescription.details.substitution</v>
      </c>
    </row>
    <row r="183" spans="2:2" x14ac:dyDescent="0.75">
      <c r="B183" s="10" t="str">
        <f>IF('eP-ConceptMap'!S178=0,"//---END",'eP-ConceptMap'!S178)</f>
        <v>* group[=].element[=].display = ##34#A.1.5.11 Substitution##34#</v>
      </c>
    </row>
    <row r="184" spans="2:2" x14ac:dyDescent="0.75">
      <c r="B184" s="10" t="str">
        <f>IF('eP-ConceptMap'!S179=0,"//---END",'eP-ConceptMap'!S179)</f>
        <v>* group[=].element[=].target.code = #MedicationRequest.substitution.allowedCodeableConcept</v>
      </c>
    </row>
    <row r="185" spans="2:2" x14ac:dyDescent="0.75">
      <c r="B185" s="10" t="str">
        <f>IF('eP-ConceptMap'!S180=0,"//---END",'eP-ConceptMap'!S180)</f>
        <v>* group[=].element[=].target.display = ##34###34#</v>
      </c>
    </row>
    <row r="186" spans="2:2" x14ac:dyDescent="0.75">
      <c r="B186" s="10" t="str">
        <f>IF('eP-ConceptMap'!S181=0,"//---END",'eP-ConceptMap'!S181)</f>
        <v>* group[=].element[=].target.equivalence = #equivalent</v>
      </c>
    </row>
    <row r="187" spans="2:2" x14ac:dyDescent="0.75">
      <c r="B187" s="10" t="str">
        <f>IF('eP-ConceptMap'!S182=0,"//---END",'eP-ConceptMap'!S182)</f>
        <v/>
      </c>
    </row>
    <row r="188" spans="2:2" x14ac:dyDescent="0.75">
      <c r="B188" s="10" t="str">
        <f>IF('eP-ConceptMap'!S183=0,"//---END",'eP-ConceptMap'!S183)</f>
        <v>//---END</v>
      </c>
    </row>
    <row r="189" spans="2:2" x14ac:dyDescent="0.75">
      <c r="B189" s="10" t="str">
        <f>IF('eP-ConceptMap'!S184=0,"//---END",'eP-ConceptMap'!S184)</f>
        <v>//---END</v>
      </c>
    </row>
    <row r="190" spans="2:2" x14ac:dyDescent="0.75">
      <c r="B190" s="10" t="str">
        <f>IF('eP-ConceptMap'!S185=0,"//---END",'eP-ConceptMap'!S185)</f>
        <v>//---END</v>
      </c>
    </row>
    <row r="191" spans="2:2" x14ac:dyDescent="0.75">
      <c r="B191" s="10" t="str">
        <f>IF('eP-ConceptMap'!S186=0,"//---END",'eP-ConceptMap'!S186)</f>
        <v>//---END</v>
      </c>
    </row>
    <row r="192" spans="2:2" x14ac:dyDescent="0.75">
      <c r="B192" s="10" t="str">
        <f>IF('eP-ConceptMap'!S187=0,"//---END",'eP-ConceptMap'!S187)</f>
        <v>//---END</v>
      </c>
    </row>
    <row r="193" spans="2:2" x14ac:dyDescent="0.75">
      <c r="B193" s="10" t="str">
        <f>IF('eP-ConceptMap'!S188=0,"//---END",'eP-ConceptMap'!S188)</f>
        <v>//---END</v>
      </c>
    </row>
    <row r="194" spans="2:2" x14ac:dyDescent="0.75">
      <c r="B194" s="10" t="str">
        <f>IF('eP-ConceptMap'!S189=0,"//---END",'eP-ConceptMap'!S189)</f>
        <v>//---END</v>
      </c>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50"/>
    </row>
    <row r="201" spans="2:2" x14ac:dyDescent="0.75">
      <c r="B201" s="52" t="str">
        <f>"* group[+].source = ##34#"&amp;'eP-ConceptMap-2'!E6&amp;"##34#"</f>
        <v>* group[+].source = ##34#http://hl7.eu/fhir/ig/xpandh-mpd/StructureDefinition/Prescription##34#</v>
      </c>
    </row>
    <row r="202" spans="2:2" x14ac:dyDescent="0.75">
      <c r="B202" s="52" t="str">
        <f>"* group[=].target = ##34#"&amp;'eP-ConceptMap-2'!E7&amp;"##34#"</f>
        <v>* group[=].target = ##34#http://hl7.eu/fhir/ig/xpandh-mpd/StructureDefinition/Practitioner-eu-xpandh##34#</v>
      </c>
    </row>
    <row r="203" spans="2:2" x14ac:dyDescent="0.75">
      <c r="B203" s="54"/>
    </row>
    <row r="204" spans="2:2" x14ac:dyDescent="0.75">
      <c r="B204" s="10" t="str">
        <f>IF('eP-ConceptMap-2'!S15=0,"//---END",'eP-ConceptMap-2'!S15)</f>
        <v>* group[=].element[+].code = #Prescription.prescriber.familyName</v>
      </c>
    </row>
    <row r="205" spans="2:2" x14ac:dyDescent="0.75">
      <c r="B205" s="10" t="str">
        <f>IF('eP-ConceptMap-2'!S16=0,"//---END",'eP-ConceptMap-2'!S16)</f>
        <v>* group[=].element[=].display = ##34#A.1.3.1 Familyname##34#</v>
      </c>
    </row>
    <row r="206" spans="2:2" x14ac:dyDescent="0.75">
      <c r="B206" s="10" t="str">
        <f>IF('eP-ConceptMap-2'!S17=0,"//---END",'eP-ConceptMap-2'!S17)</f>
        <v>* group[=].element[=].target.code = #Practitioner.name.given</v>
      </c>
    </row>
    <row r="207" spans="2:2" x14ac:dyDescent="0.75">
      <c r="B207" s="10" t="str">
        <f>IF('eP-ConceptMap-2'!S18=0,"//---END",'eP-ConceptMap-2'!S18)</f>
        <v>* group[=].element[=].target.display = ##34###34#</v>
      </c>
    </row>
    <row r="208" spans="2:2" x14ac:dyDescent="0.75">
      <c r="B208" s="10" t="str">
        <f>IF('eP-ConceptMap-2'!S19=0,"//---END",'eP-ConceptMap-2'!S19)</f>
        <v>* group[=].element[=].target.equivalence = #equivalent</v>
      </c>
    </row>
    <row r="209" spans="2:2" x14ac:dyDescent="0.75">
      <c r="B209" s="10" t="str">
        <f>IF('eP-ConceptMap-2'!S20=0,"//---END",'eP-ConceptMap-2'!S20)</f>
        <v/>
      </c>
    </row>
    <row r="210" spans="2:2" x14ac:dyDescent="0.75">
      <c r="B210" s="10" t="str">
        <f>IF('eP-ConceptMap-2'!S21=0,"//---END",'eP-ConceptMap-2'!S21)</f>
        <v>* group[=].element[+].code = #Prescription.prescriber.givenName</v>
      </c>
    </row>
    <row r="211" spans="2:2" x14ac:dyDescent="0.75">
      <c r="B211" s="10" t="str">
        <f>IF('eP-ConceptMap-2'!S22=0,"//---END",'eP-ConceptMap-2'!S22)</f>
        <v>* group[=].element[=].display = ##34#A.1.3.2 Given name##34#</v>
      </c>
    </row>
    <row r="212" spans="2:2" x14ac:dyDescent="0.75">
      <c r="B212" s="10" t="str">
        <f>IF('eP-ConceptMap-2'!S23=0,"//---END",'eP-ConceptMap-2'!S23)</f>
        <v>* group[=].element[=].target.code = #Practitioner.name.family</v>
      </c>
    </row>
    <row r="213" spans="2:2" x14ac:dyDescent="0.75">
      <c r="B213" s="10" t="str">
        <f>IF('eP-ConceptMap-2'!S24=0,"//---END",'eP-ConceptMap-2'!S24)</f>
        <v>* group[=].element[=].target.display = ##34###34#</v>
      </c>
    </row>
    <row r="214" spans="2:2" x14ac:dyDescent="0.75">
      <c r="B214" s="10" t="str">
        <f>IF('eP-ConceptMap-2'!S25=0,"//---END",'eP-ConceptMap-2'!S25)</f>
        <v>* group[=].element[=].target.equivalence = #equivalent</v>
      </c>
    </row>
    <row r="215" spans="2:2" x14ac:dyDescent="0.75">
      <c r="B215" s="10" t="str">
        <f>IF('eP-ConceptMap-2'!S26=0,"//---END",'eP-ConceptMap-2'!S26)</f>
        <v/>
      </c>
    </row>
    <row r="216" spans="2:2" x14ac:dyDescent="0.75">
      <c r="B216" s="10" t="str">
        <f>IF('eP-ConceptMap-2'!S27=0,"//---END",'eP-ConceptMap-2'!S27)</f>
        <v>* group[=].element[+].code = #Prescription.prescriber.qualification</v>
      </c>
    </row>
    <row r="217" spans="2:2" x14ac:dyDescent="0.75">
      <c r="B217" s="10" t="str">
        <f>IF('eP-ConceptMap-2'!S28=0,"//---END",'eP-ConceptMap-2'!S28)</f>
        <v>* group[=].element[=].display = ##34#A.1.3.3 Professional qualifications##34#</v>
      </c>
    </row>
    <row r="218" spans="2:2" x14ac:dyDescent="0.75">
      <c r="B218" s="10" t="str">
        <f>IF('eP-ConceptMap-2'!S29=0,"//---END",'eP-ConceptMap-2'!S29)</f>
        <v>* group[=].element[=].target.code = #Practitioner.qualification</v>
      </c>
    </row>
    <row r="219" spans="2:2" x14ac:dyDescent="0.75">
      <c r="B219" s="10" t="str">
        <f>IF('eP-ConceptMap-2'!S30=0,"//---END",'eP-ConceptMap-2'!S30)</f>
        <v>* group[=].element[=].target.display = ##34###34#</v>
      </c>
    </row>
    <row r="220" spans="2:2" x14ac:dyDescent="0.75">
      <c r="B220" s="10" t="str">
        <f>IF('eP-ConceptMap-2'!S31=0,"//---END",'eP-ConceptMap-2'!S31)</f>
        <v>* group[=].element[=].target.equivalence = #equivalent</v>
      </c>
    </row>
    <row r="221" spans="2:2" x14ac:dyDescent="0.75">
      <c r="B221" s="10" t="str">
        <f>IF('eP-ConceptMap-2'!S32=0,"//---END",'eP-ConceptMap-2'!S32)</f>
        <v/>
      </c>
    </row>
    <row r="222" spans="2:2" x14ac:dyDescent="0.75">
      <c r="B222" s="10" t="str">
        <f>IF('eP-ConceptMap-2'!S33=0,"//---END",'eP-ConceptMap-2'!S33)</f>
        <v>* group[=].element[+].code = #Prescription.prescriber.contact</v>
      </c>
    </row>
    <row r="223" spans="2:2" x14ac:dyDescent="0.75">
      <c r="B223" s="10" t="str">
        <f>IF('eP-ConceptMap-2'!S34=0,"//---END",'eP-ConceptMap-2'!S34)</f>
        <v>* group[=].element[=].display = ##34#A.1.3.4 Details for direct contact##34#</v>
      </c>
    </row>
    <row r="224" spans="2:2" x14ac:dyDescent="0.75">
      <c r="B224" s="10" t="str">
        <f>IF('eP-ConceptMap-2'!S35=0,"//---END",'eP-ConceptMap-2'!S35)</f>
        <v>* group[=].element[=].target.code = #Practitioner.telecom</v>
      </c>
    </row>
    <row r="225" spans="2:2" x14ac:dyDescent="0.75">
      <c r="B225" s="10" t="str">
        <f>IF('eP-ConceptMap-2'!S36=0,"//---END",'eP-ConceptMap-2'!S36)</f>
        <v>* group[=].element[=].target.display = ##34###34#</v>
      </c>
    </row>
    <row r="226" spans="2:2" x14ac:dyDescent="0.75">
      <c r="B226" s="10" t="str">
        <f>IF('eP-ConceptMap-2'!S37=0,"//---END",'eP-ConceptMap-2'!S37)</f>
        <v>* group[=].element[=].target.equivalence = #equivalent</v>
      </c>
    </row>
    <row r="227" spans="2:2" x14ac:dyDescent="0.75">
      <c r="B227" s="10" t="str">
        <f>IF('eP-ConceptMap-2'!S38=0,"//---END",'eP-ConceptMap-2'!S38)</f>
        <v/>
      </c>
    </row>
    <row r="228" spans="2:2" x14ac:dyDescent="0.75">
      <c r="B228" s="10" t="str">
        <f>IF('eP-ConceptMap-2'!S39=0,"//---END",'eP-ConceptMap-2'!S39)</f>
        <v>* group[=].element[+].code = #Prescription.prescriber.workAddress</v>
      </c>
    </row>
    <row r="229" spans="2:2" x14ac:dyDescent="0.75">
      <c r="B229" s="10" t="str">
        <f>IF('eP-ConceptMap-2'!S40=0,"//---END",'eP-ConceptMap-2'!S40)</f>
        <v>* group[=].element[=].display = ##34#A.1.3.5 Work address##34#</v>
      </c>
    </row>
    <row r="230" spans="2:2" x14ac:dyDescent="0.75">
      <c r="B230" s="10" t="str">
        <f>IF('eP-ConceptMap-2'!S41=0,"//---END",'eP-ConceptMap-2'!S41)</f>
        <v>* group[=].element[=].target.code = #Practitioner.address</v>
      </c>
    </row>
    <row r="231" spans="2:2" x14ac:dyDescent="0.75">
      <c r="B231" s="10" t="str">
        <f>IF('eP-ConceptMap-2'!S42=0,"//---END",'eP-ConceptMap-2'!S42)</f>
        <v>* group[=].element[=].target.display = ##34###34#</v>
      </c>
    </row>
    <row r="232" spans="2:2" x14ac:dyDescent="0.75">
      <c r="B232" s="10" t="str">
        <f>IF('eP-ConceptMap-2'!S43=0,"//---END",'eP-ConceptMap-2'!S43)</f>
        <v>* group[=].element[=].target.equivalence = #equivalent</v>
      </c>
    </row>
    <row r="233" spans="2:2" x14ac:dyDescent="0.75">
      <c r="B233" s="10" t="str">
        <f>IF('eP-ConceptMap-2'!S44=0,"//---END",'eP-ConceptMap-2'!S44)</f>
        <v>* group[=].element[=].target.comment = ##34#where use = 'work'##34#</v>
      </c>
    </row>
    <row r="234" spans="2:2" x14ac:dyDescent="0.75">
      <c r="B234" s="10" t="str">
        <f>IF('eP-ConceptMap-2'!S45=0,"//---END",'eP-ConceptMap-2'!S45)</f>
        <v>* group[=].element[+].code = #Prescription.prescriber.identifier</v>
      </c>
    </row>
    <row r="235" spans="2:2" x14ac:dyDescent="0.75">
      <c r="B235" s="10" t="str">
        <f>IF('eP-ConceptMap-2'!S46=0,"//---END",'eP-ConceptMap-2'!S46)</f>
        <v>* group[=].element[=].display = ##34#A.1.3.7  Health care provider identifier##34#</v>
      </c>
    </row>
    <row r="236" spans="2:2" x14ac:dyDescent="0.75">
      <c r="B236" s="10" t="str">
        <f>IF('eP-ConceptMap-2'!S47=0,"//---END",'eP-ConceptMap-2'!S47)</f>
        <v>* group[=].element[=].target.code = #Practitioner.identifier</v>
      </c>
    </row>
    <row r="237" spans="2:2" x14ac:dyDescent="0.75">
      <c r="B237" s="10" t="str">
        <f>IF('eP-ConceptMap-2'!S48=0,"//---END",'eP-ConceptMap-2'!S48)</f>
        <v>* group[=].element[=].target.display = ##34###34#</v>
      </c>
    </row>
    <row r="238" spans="2:2" x14ac:dyDescent="0.75">
      <c r="B238" s="10" t="str">
        <f>IF('eP-ConceptMap-2'!S49=0,"//---END",'eP-ConceptMap-2'!S49)</f>
        <v>* group[=].element[=].target.equivalence = #relatedto</v>
      </c>
    </row>
    <row r="239" spans="2:2" x14ac:dyDescent="0.75">
      <c r="B239" s="10" t="str">
        <f>IF('eP-ConceptMap-2'!S50=0,"//---END",'eP-ConceptMap-2'!S50)</f>
        <v/>
      </c>
    </row>
    <row r="240" spans="2:2" x14ac:dyDescent="0.75">
      <c r="B240" s="10" t="str">
        <f>IF('eP-ConceptMap-2'!S51=0,"//---END",'eP-ConceptMap-2'!S51)</f>
        <v>//---END</v>
      </c>
    </row>
    <row r="241" spans="2:2" x14ac:dyDescent="0.75">
      <c r="B241" s="10" t="str">
        <f>IF('eP-ConceptMap-2'!S52=0,"//---END",'eP-ConceptMap-2'!S52)</f>
        <v>//---END</v>
      </c>
    </row>
    <row r="242" spans="2:2" x14ac:dyDescent="0.75">
      <c r="B242" s="10" t="str">
        <f>IF('eP-ConceptMap-2'!S53=0,"//---END",'eP-ConceptMap-2'!S53)</f>
        <v>//---END</v>
      </c>
    </row>
    <row r="243" spans="2:2" x14ac:dyDescent="0.75">
      <c r="B243" s="10" t="str">
        <f>IF('eP-ConceptMap-2'!S54=0,"//---END",'eP-ConceptMap-2'!S54)</f>
        <v>//---END</v>
      </c>
    </row>
    <row r="244" spans="2:2" x14ac:dyDescent="0.75">
      <c r="B244" s="10" t="str">
        <f>IF('eP-ConceptMap-2'!S55=0,"//---END",'eP-ConceptMap-2'!S55)</f>
        <v>//---END</v>
      </c>
    </row>
    <row r="245" spans="2:2" x14ac:dyDescent="0.75">
      <c r="B245" s="10" t="str">
        <f>IF('eP-ConceptMap-2'!S56=0,"//---END",'eP-ConceptMap-2'!S56)</f>
        <v>//---END</v>
      </c>
    </row>
    <row r="246" spans="2:2" x14ac:dyDescent="0.75">
      <c r="B246" s="10" t="str">
        <f>IF('eP-ConceptMap-2'!S57=0,"//---END",'eP-ConceptMap-2'!S57)</f>
        <v>//---END</v>
      </c>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16"/>
  <sheetViews>
    <sheetView workbookViewId="0">
      <selection activeCell="B8" sqref="B8:G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353</v>
      </c>
      <c r="I4" s="18" t="str">
        <f>CONCATENATE("Logical: ",B4)</f>
        <v>Logical: SubjectEpEhn</v>
      </c>
    </row>
    <row r="5" spans="1:9" x14ac:dyDescent="0.75">
      <c r="A5" s="13" t="s">
        <v>17</v>
      </c>
      <c r="B5" s="22" t="s">
        <v>12</v>
      </c>
      <c r="I5" s="18" t="str">
        <f>CONCATENATE("Id: ",B5)</f>
        <v>Id: Subject</v>
      </c>
    </row>
    <row r="6" spans="1:9" x14ac:dyDescent="0.75">
      <c r="A6" s="13" t="s">
        <v>13</v>
      </c>
      <c r="B6" s="14" t="s">
        <v>351</v>
      </c>
      <c r="I6" s="19" t="str">
        <f>CONCATENATE("Title: ##34#",B6,"##34#")</f>
        <v>Title: ##34#A.1.1 Patient administrative data##34#</v>
      </c>
    </row>
    <row r="7" spans="1:9" ht="15.5" thickBot="1" x14ac:dyDescent="0.9">
      <c r="A7" s="15" t="s">
        <v>5</v>
      </c>
      <c r="B7" s="16" t="s">
        <v>352</v>
      </c>
      <c r="C7" s="9" t="s">
        <v>6</v>
      </c>
      <c r="D7" s="2" t="s">
        <v>7</v>
      </c>
      <c r="E7" s="3" t="s">
        <v>8</v>
      </c>
      <c r="F7" s="3" t="s">
        <v>9</v>
      </c>
      <c r="G7" s="3" t="s">
        <v>10</v>
      </c>
      <c r="I7" s="19" t="str">
        <f>CONCATENATE("Description: "," ##334#",B7,"##334#",)</f>
        <v>Description:  ##334#Patient. Sections A1.1 of the eHN guideline.##334#</v>
      </c>
    </row>
    <row r="8" spans="1:9" ht="29.5" x14ac:dyDescent="0.75">
      <c r="A8" s="7">
        <v>1</v>
      </c>
      <c r="B8" s="7" t="s">
        <v>358</v>
      </c>
      <c r="C8" s="11" t="s">
        <v>259</v>
      </c>
      <c r="D8" s="10" t="s">
        <v>257</v>
      </c>
      <c r="E8" s="7">
        <v>0</v>
      </c>
      <c r="F8" s="7" t="s">
        <v>11</v>
      </c>
      <c r="G8" s="7" t="s">
        <v>3</v>
      </c>
      <c r="H8" s="17"/>
      <c r="I8" s="10" t="str">
        <f>CONCATENATE("* ",B8, " ",E8,"..",F8," ",G8," ##34#",C8,"##34# ##334#",D8,"##334#")</f>
        <v>* familyName 0..* string ##34#A.1.1.1 Familyname/surname##34# ##334#The family name/surname/last name of the patient. This field can contain more than one element or multiple fields could be present.##334#</v>
      </c>
    </row>
    <row r="9" spans="1:9" ht="44.25" x14ac:dyDescent="0.75">
      <c r="A9" s="7">
        <v>2</v>
      </c>
      <c r="B9" s="7" t="s">
        <v>359</v>
      </c>
      <c r="C9" s="11" t="s">
        <v>283</v>
      </c>
      <c r="D9" s="10" t="s">
        <v>354</v>
      </c>
      <c r="E9" s="7">
        <v>0</v>
      </c>
      <c r="F9" s="7" t="s">
        <v>11</v>
      </c>
      <c r="G9" s="7" t="s">
        <v>3</v>
      </c>
      <c r="H9" s="17"/>
      <c r="I9" s="10" t="str">
        <f t="shared" ref="I9:I16" si="0">CONCATENATE("* ",B9, " ",E9,"..",F9," ",G9," ##34#",C9,"##34# ##334#",D9,"##334#")</f>
        <v>* givenName 0..* string ##34#A.1.1.2 Given name##34# ##334#The given name/first name of the patient (also known as forename or first 
name) [ISO TS 22220:2011]. This field can contain more than one element.##334#</v>
      </c>
    </row>
    <row r="10" spans="1:9" ht="59" x14ac:dyDescent="0.75">
      <c r="A10" s="7">
        <v>3</v>
      </c>
      <c r="B10" s="7" t="s">
        <v>360</v>
      </c>
      <c r="C10" s="11" t="s">
        <v>284</v>
      </c>
      <c r="D10" s="10" t="s">
        <v>355</v>
      </c>
      <c r="E10" s="7">
        <v>0</v>
      </c>
      <c r="F10" s="7">
        <v>1</v>
      </c>
      <c r="G10" s="7" t="s">
        <v>2</v>
      </c>
      <c r="H10" s="17"/>
      <c r="I10" s="10" t="str">
        <f t="shared" si="0"/>
        <v>* dateOfBirth 0..1 dateTime ##34#A.1.1.3 Date of birth##34# ##334#The date of birth of the patient [ISO TS 22220:2011].
This field may contain only the year if the day and month are not available, 
e.g.: 2009 - Preferred system(s): ISO 8601 ##334#</v>
      </c>
    </row>
    <row r="11" spans="1:9" ht="59" x14ac:dyDescent="0.75">
      <c r="A11" s="7">
        <v>4</v>
      </c>
      <c r="B11" s="7" t="s">
        <v>272</v>
      </c>
      <c r="C11" s="7" t="s">
        <v>285</v>
      </c>
      <c r="D11" s="10" t="s">
        <v>356</v>
      </c>
      <c r="E11" s="7">
        <v>0</v>
      </c>
      <c r="F11" s="7">
        <v>1</v>
      </c>
      <c r="G11" s="7" t="s">
        <v>0</v>
      </c>
      <c r="H11" s="17"/>
      <c r="I11" s="10" t="str">
        <f t="shared" si="0"/>
        <v>* identifier 0..1 Identifier ##34#A.1.1.4 Personal identifier##34# ##334#Country ID, unique to the patient in that country. Example: ID for a Portuguese patient, national healthcare patient ID. Multiple identifiers could be provided.##334#</v>
      </c>
    </row>
    <row r="12" spans="1:9" ht="44.25" x14ac:dyDescent="0.75">
      <c r="A12" s="7">
        <v>5</v>
      </c>
      <c r="B12" s="7" t="s">
        <v>323</v>
      </c>
      <c r="C12" s="11" t="s">
        <v>256</v>
      </c>
      <c r="D12" s="10" t="s">
        <v>357</v>
      </c>
      <c r="E12" s="7">
        <v>0</v>
      </c>
      <c r="F12" s="7">
        <v>1</v>
      </c>
      <c r="G12" s="7" t="s">
        <v>1</v>
      </c>
      <c r="H12" s="17"/>
      <c r="I12" s="10" t="str">
        <f t="shared" si="0"/>
        <v>* gender 0..1 CodeableConcept ##34#A.1.1.5 Gender##34# ##334#This field must contain a recognised valid value for 'administrative gender'. 
If different, 'physiological sex' should be communicated elsewhere.##334#</v>
      </c>
    </row>
    <row r="13" spans="1:9" x14ac:dyDescent="0.75">
      <c r="A13" s="7"/>
      <c r="B13" s="7"/>
      <c r="C13" s="11"/>
      <c r="D13" s="10"/>
      <c r="E13" s="7"/>
      <c r="F13" s="7"/>
      <c r="G13" s="7"/>
      <c r="H13" s="17"/>
      <c r="I13" s="10" t="str">
        <f t="shared" si="0"/>
        <v>*  ..  ##34###34# ##334###334#</v>
      </c>
    </row>
    <row r="14" spans="1:9" x14ac:dyDescent="0.75">
      <c r="I14" s="10" t="str">
        <f t="shared" si="0"/>
        <v>*  ..  ##34###34# ##334###334#</v>
      </c>
    </row>
    <row r="15" spans="1:9" x14ac:dyDescent="0.75">
      <c r="I15" s="10" t="str">
        <f t="shared" si="0"/>
        <v>*  ..  ##34###34# ##334###334#</v>
      </c>
    </row>
    <row r="16" spans="1:9" x14ac:dyDescent="0.75">
      <c r="I16" s="10" t="str">
        <f t="shared" si="0"/>
        <v>*  ..  ##34###34# ##334###334#</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B5" sqref="B5"/>
    </sheetView>
  </sheetViews>
  <sheetFormatPr defaultRowHeight="14.75" x14ac:dyDescent="0.75"/>
  <cols>
    <col min="3" max="3" width="108.2265625" style="10" customWidth="1"/>
    <col min="7" max="7" width="34.90625" customWidth="1"/>
  </cols>
  <sheetData>
    <row r="1" spans="3:7" ht="15.5" thickBot="1" x14ac:dyDescent="0.9">
      <c r="C1" s="20" t="str">
        <f>Subj!I1</f>
        <v>// -------------------------------------------------------------------------------</v>
      </c>
    </row>
    <row r="2" spans="3:7" ht="16.75" thickBot="1" x14ac:dyDescent="0.9">
      <c r="C2" s="21" t="str">
        <f>Subj!I2</f>
        <v>//  Logical Model</v>
      </c>
      <c r="G2" s="38" t="str">
        <f>Subj!B5&amp;".fsh"</f>
        <v>Subject.fsh</v>
      </c>
    </row>
    <row r="3" spans="3:7" x14ac:dyDescent="0.75">
      <c r="C3" s="21" t="str">
        <f>Subj!I3</f>
        <v>// -------------------------------------------------------------------------------</v>
      </c>
    </row>
    <row r="4" spans="3:7" x14ac:dyDescent="0.75">
      <c r="C4" s="18" t="str">
        <f>Subj!I4</f>
        <v>Logical: SubjectEpEhn</v>
      </c>
    </row>
    <row r="5" spans="3:7" x14ac:dyDescent="0.75">
      <c r="C5" s="18" t="str">
        <f>Subj!I5</f>
        <v>Id: Subject</v>
      </c>
    </row>
    <row r="6" spans="3:7" x14ac:dyDescent="0.75">
      <c r="C6" s="18" t="str">
        <f>Subj!I6</f>
        <v>Title: ##34#A.1.1 Patient administrative data##34#</v>
      </c>
    </row>
    <row r="7" spans="3:7" x14ac:dyDescent="0.75">
      <c r="C7" s="18" t="str">
        <f>Subj!I7</f>
        <v>Description:  ##334#Patient. Sections A1.1 of the eHN guideline.##334#</v>
      </c>
    </row>
    <row r="8" spans="3:7" ht="29.5" x14ac:dyDescent="0.75">
      <c r="C8" s="10" t="str">
        <f>IF(Subj!I8="*  ..  ##34###34# ##334###334#","//--- END",Subj!I8)</f>
        <v>* familyName 0..* string ##34#A.1.1.1 Familyname/surname##34# ##334#The family name/surname/last name of the patient. This field can contain more than one element or multiple fields could be present.##334#</v>
      </c>
    </row>
    <row r="9" spans="3:7" ht="29.5" x14ac:dyDescent="0.75">
      <c r="C9" s="10" t="str">
        <f>IF(Subj!I9="*  ..  ##34###34# ##334###334#","//--- END",Subj!I9)</f>
        <v>* givenName 0..* string ##34#A.1.1.2 Given name##34# ##334#The given name/first name of the patient (also known as forename or first 
name) [ISO TS 22220:2011]. This field can contain more than one element.##334#</v>
      </c>
    </row>
    <row r="10" spans="3:7" ht="29.5" x14ac:dyDescent="0.75">
      <c r="C10" s="10" t="str">
        <f>IF(Subj!I10="*  ..  ##34###34# ##334###334#","//--- END",Subj!I10)</f>
        <v>* dateOfBirth 0..1 dateTime ##34#A.1.1.3 Date of birth##34# ##334#The date of birth of the patient [ISO TS 22220:2011].
This field may contain only the year if the day and month are not available, 
e.g.: 2009 - Preferred system(s): ISO 8601 ##334#</v>
      </c>
      <c r="E10" t="s">
        <v>258</v>
      </c>
    </row>
    <row r="11" spans="3:7" ht="29.5" x14ac:dyDescent="0.75">
      <c r="C11" s="10" t="str">
        <f>IF(Subj!I11="*  ..  ##34###34# ##334###334#","//--- END",Subj!I11)</f>
        <v>* identifier 0..1 Identifier ##34#A.1.1.4 Personal identifier##34# ##334#Country ID, unique to the patient in that country. Example: ID for a Portuguese patient, national healthcare patient ID. Multiple identifiers could be provided.##334#</v>
      </c>
    </row>
    <row r="12" spans="3:7" ht="44.25" x14ac:dyDescent="0.75">
      <c r="C12" s="10" t="str">
        <f>IF(Subj!I12="*  ..  ##34###34# ##334###334#","//--- END",Subj!I12)</f>
        <v>* gender 0..1 CodeableConcept ##34#A.1.1.5 Gender##34# ##334#This field must contain a recognised valid value for 'administrative gender'. 
If different, 'physiological sex' should be communicated elsewhere.##334#</v>
      </c>
    </row>
    <row r="13" spans="3:7" x14ac:dyDescent="0.75">
      <c r="C13" s="10" t="str">
        <f>IF(Subj!I13="*  ..  ##34###34# ##334###334#","//--- END",Subj!I13)</f>
        <v>//--- END</v>
      </c>
    </row>
    <row r="14" spans="3:7" x14ac:dyDescent="0.75">
      <c r="C14" s="10" t="str">
        <f>IF(Subj!I14="*  ..  ##34###34# ##334###334#","//--- END",Subj!I14)</f>
        <v>//--- END</v>
      </c>
    </row>
    <row r="15" spans="3:7" x14ac:dyDescent="0.75">
      <c r="C15" s="10" t="str">
        <f>IF(Subj!I15="*  ..  ##34###34# ##334###334#","//--- END",Subj!I15)</f>
        <v>//--- END</v>
      </c>
    </row>
    <row r="16" spans="3:7" x14ac:dyDescent="0.75">
      <c r="C16" s="10" t="str">
        <f>IF(Subj!I16="*  ..  ##34###34# ##334###334#","//--- END",Subj!I16)</f>
        <v>//--- END</v>
      </c>
    </row>
    <row r="30" spans="3:3" x14ac:dyDescent="0.75">
      <c r="C30" s="20" t="e">
        <f>#REF!</f>
        <v>#REF!</v>
      </c>
    </row>
    <row r="31" spans="3:3" x14ac:dyDescent="0.75">
      <c r="C31" s="21" t="e">
        <f>#REF!</f>
        <v>#REF!</v>
      </c>
    </row>
    <row r="32" spans="3:3" x14ac:dyDescent="0.75">
      <c r="C32" s="21" t="e">
        <f>#REF!</f>
        <v>#REF!</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B5" sqref="B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46" t="s">
        <v>18</v>
      </c>
      <c r="C3" s="37" t="s">
        <v>330</v>
      </c>
      <c r="D3" s="46" t="s">
        <v>316</v>
      </c>
      <c r="E3" s="94" t="s">
        <v>319</v>
      </c>
      <c r="F3" s="94"/>
      <c r="G3" s="94"/>
    </row>
    <row r="4" spans="1:19" x14ac:dyDescent="0.75">
      <c r="B4" s="46" t="s">
        <v>17</v>
      </c>
      <c r="C4" s="37" t="s">
        <v>518</v>
      </c>
      <c r="D4" s="46" t="s">
        <v>317</v>
      </c>
      <c r="E4" s="95" t="s">
        <v>519</v>
      </c>
      <c r="F4" s="94"/>
      <c r="G4" s="94"/>
    </row>
    <row r="5" spans="1:19" x14ac:dyDescent="0.75">
      <c r="B5" s="46" t="s">
        <v>13</v>
      </c>
      <c r="C5" s="8" t="s">
        <v>327</v>
      </c>
      <c r="D5" s="46"/>
      <c r="E5" s="8"/>
    </row>
    <row r="6" spans="1:19" x14ac:dyDescent="0.75">
      <c r="B6" s="46" t="s">
        <v>19</v>
      </c>
      <c r="C6" s="45" t="s">
        <v>310</v>
      </c>
      <c r="D6" s="46" t="s">
        <v>314</v>
      </c>
      <c r="E6" s="94" t="s">
        <v>319</v>
      </c>
      <c r="F6" s="94"/>
      <c r="G6" s="94"/>
    </row>
    <row r="7" spans="1:19" x14ac:dyDescent="0.75">
      <c r="B7" s="46" t="s">
        <v>16</v>
      </c>
      <c r="C7" s="53" t="s">
        <v>313</v>
      </c>
      <c r="D7" s="46" t="s">
        <v>315</v>
      </c>
      <c r="E7" s="95" t="s">
        <v>519</v>
      </c>
      <c r="F7" s="94"/>
      <c r="G7" s="94"/>
    </row>
    <row r="8" spans="1:19" ht="44.25" x14ac:dyDescent="0.75">
      <c r="B8" s="46" t="s">
        <v>311</v>
      </c>
      <c r="C8" s="8" t="s">
        <v>328</v>
      </c>
      <c r="D8" s="46"/>
      <c r="E8"/>
      <c r="I8" s="10" t="s">
        <v>290</v>
      </c>
      <c r="J8" s="10" t="s">
        <v>291</v>
      </c>
      <c r="K8" s="10" t="s">
        <v>292</v>
      </c>
      <c r="L8" s="10" t="s">
        <v>293</v>
      </c>
      <c r="M8" s="7" t="s">
        <v>294</v>
      </c>
      <c r="P8" s="42" t="s">
        <v>295</v>
      </c>
      <c r="Q8" s="42">
        <v>6</v>
      </c>
    </row>
    <row r="9" spans="1:19" ht="29.5" x14ac:dyDescent="0.75">
      <c r="B9" s="46" t="s">
        <v>312</v>
      </c>
      <c r="C9" s="1" t="s">
        <v>329</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Subj!B5</f>
        <v>Subject</v>
      </c>
      <c r="C14" s="7"/>
      <c r="D14" s="4" t="s">
        <v>15</v>
      </c>
      <c r="E14" s="6"/>
      <c r="F14" s="7"/>
      <c r="G14" s="7"/>
      <c r="I14" s="10"/>
      <c r="J14" s="7"/>
      <c r="K14" s="7"/>
      <c r="L14" s="7"/>
      <c r="M14" s="44"/>
      <c r="N14" s="47"/>
    </row>
    <row r="15" spans="1:19" ht="44.25" x14ac:dyDescent="0.75">
      <c r="A15" s="17"/>
      <c r="B15" s="7" t="str">
        <f>Subj!B8</f>
        <v>familyName</v>
      </c>
      <c r="C15" s="7" t="str">
        <f>Subj!C8</f>
        <v>A.1.1.1 Familyname/surname</v>
      </c>
      <c r="D15" s="10"/>
      <c r="E15" s="40"/>
      <c r="F15" s="48" t="s">
        <v>302</v>
      </c>
      <c r="G15" s="48"/>
      <c r="H15" s="49"/>
      <c r="I15" s="10" t="str">
        <f>"* group[=].element[+].code = #"&amp;$B$14&amp;"."&amp;B15</f>
        <v>* group[=].element[+].code = #Subject.familyName</v>
      </c>
      <c r="J15" s="10" t="str">
        <f t="shared" ref="J15" si="0">"* group[=].element[=].display = ##34#"&amp;C15&amp;"##34#"</f>
        <v>* group[=].element[=].display = ##34#A.1.1.1 Familyname/surname##34#</v>
      </c>
      <c r="K15" s="10" t="str">
        <f>IF(F15="unmatched","//-- unmatched",IF(D15="","* group[=].element[=].target.code = #"&amp;$D$14,"* group[=].element[=].target.code = #"&amp;$D$14&amp;"."&amp;D15))</f>
        <v>* group[=].element[=].target.code = #Patient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23" si="3">IF(G15&lt;&gt;"",CONCATENATE("* group[=].element[=].target.comment = ","##34#",G15,"##34#"),"")</f>
        <v/>
      </c>
      <c r="P15" s="7">
        <v>1</v>
      </c>
      <c r="Q15" s="7">
        <f>IF(MOD(P15,$Q$8)=0,P15/$Q$8-1,INT(P15/$Q$8))</f>
        <v>0</v>
      </c>
      <c r="R15" s="7">
        <f>IF(MOD(P15,$Q$8)=0,$Q$8,MOD(P15,$Q$8))</f>
        <v>1</v>
      </c>
      <c r="S15" s="10" t="str" cm="1">
        <f t="array" ref="S15">INDEX('Subj-ConceptMap-1'!$I$15:$N$270,Q15+1,R15)</f>
        <v>* group[=].element[+].code = #Subject.familyName</v>
      </c>
    </row>
    <row r="16" spans="1:19" ht="44.25" x14ac:dyDescent="0.75">
      <c r="A16" s="17"/>
      <c r="B16" s="7" t="str">
        <f>Subj!B9</f>
        <v>givenName</v>
      </c>
      <c r="C16" s="7" t="str">
        <f>Subj!C9</f>
        <v>A.1.1.2 Given name</v>
      </c>
      <c r="D16" s="7" t="s">
        <v>320</v>
      </c>
      <c r="E16" s="7"/>
      <c r="F16" s="48" t="s">
        <v>301</v>
      </c>
      <c r="G16" s="48"/>
      <c r="H16" s="49"/>
      <c r="I16" s="10" t="str">
        <f t="shared" ref="I16:I23" si="4">"* group[=].element[+].code = #"&amp;$B$14&amp;"."&amp;B16</f>
        <v>* group[=].element[+].code = #Subject.givenName</v>
      </c>
      <c r="J16" s="10" t="str">
        <f t="shared" ref="J16:J23" si="5">"* group[=].element[=].display = ##34#"&amp;C16&amp;"##34#"</f>
        <v>* group[=].element[=].display = ##34#A.1.1.2 Given name##34#</v>
      </c>
      <c r="K16" s="10" t="str">
        <f t="shared" ref="K16:K23" si="6">IF(F16="unmatched","//-- unmatched",IF(D16="","* group[=].element[=].target.code = #"&amp;$D$14,"* group[=].element[=].target.code = #"&amp;$D$14&amp;"."&amp;D16))</f>
        <v>* group[=].element[=].target.code = #Patient.name.family</v>
      </c>
      <c r="L16" s="10" t="str">
        <f t="shared" ref="L16:L23" si="7">IF(F16="unmatched","//-- unmatched","* group[=].element[=].target.display = ##34#"&amp;E16&amp;"##34#")</f>
        <v>* group[=].element[=].target.display = ##34###34#</v>
      </c>
      <c r="M16" s="10" t="str">
        <f t="shared" ref="M16:M23" si="8">"* group[=].element[=].target.equivalence = #"&amp;F16</f>
        <v>* group[=].element[=].target.equivalence = #equivalent</v>
      </c>
      <c r="N16" s="10" t="str">
        <f t="shared" si="3"/>
        <v/>
      </c>
      <c r="P16" s="7">
        <v>2</v>
      </c>
      <c r="Q16" s="7">
        <f t="shared" ref="Q16:Q23" si="9">IF(MOD(P16,$Q$8)=0,P16/$Q$8-1,INT(P16/$Q$8))</f>
        <v>0</v>
      </c>
      <c r="R16" s="7">
        <f t="shared" ref="R16:R23" si="10">IF(MOD(P16,$Q$8)=0,$Q$8,MOD(P16,$Q$8))</f>
        <v>2</v>
      </c>
      <c r="S16" s="10" t="str" cm="1">
        <f t="array" ref="S16">INDEX('Subj-ConceptMap-1'!$I$15:$N$270,Q16+1,R16)</f>
        <v>* group[=].element[=].display = ##34#A.1.1.1 Familyname/surname##34#</v>
      </c>
    </row>
    <row r="17" spans="1:19" ht="44.25" x14ac:dyDescent="0.75">
      <c r="A17" s="17"/>
      <c r="B17" s="7" t="str">
        <f>Subj!B10</f>
        <v>dateOfBirth</v>
      </c>
      <c r="C17" s="7" t="str">
        <f>Subj!C10</f>
        <v>A.1.1.3 Date of birth</v>
      </c>
      <c r="D17" s="7" t="s">
        <v>321</v>
      </c>
      <c r="E17" s="7"/>
      <c r="F17" s="48" t="s">
        <v>301</v>
      </c>
      <c r="G17" s="48"/>
      <c r="H17" s="49"/>
      <c r="I17" s="10" t="str">
        <f t="shared" si="4"/>
        <v>* group[=].element[+].code = #Subject.dateOfBirth</v>
      </c>
      <c r="J17" s="10" t="str">
        <f t="shared" si="5"/>
        <v>* group[=].element[=].display = ##34#A.1.1.3 Date of birth##34#</v>
      </c>
      <c r="K17" s="10" t="str">
        <f t="shared" si="6"/>
        <v>* group[=].element[=].target.code = #Patient.name.given</v>
      </c>
      <c r="L17" s="10" t="str">
        <f t="shared" si="7"/>
        <v>* group[=].element[=].target.display = ##34###34#</v>
      </c>
      <c r="M17" s="10" t="str">
        <f t="shared" si="8"/>
        <v>* group[=].element[=].target.equivalence = #equivalent</v>
      </c>
      <c r="N17" s="10" t="str">
        <f t="shared" si="3"/>
        <v/>
      </c>
      <c r="P17" s="7">
        <v>3</v>
      </c>
      <c r="Q17" s="7">
        <f t="shared" si="9"/>
        <v>0</v>
      </c>
      <c r="R17" s="7">
        <f t="shared" si="10"/>
        <v>3</v>
      </c>
      <c r="S17" s="10" t="str" cm="1">
        <f t="array" ref="S17">INDEX('Subj-ConceptMap-1'!$I$15:$N$270,Q17+1,R17)</f>
        <v>* group[=].element[=].target.code = #Patient</v>
      </c>
    </row>
    <row r="18" spans="1:19" ht="44.25" x14ac:dyDescent="0.75">
      <c r="A18" s="17"/>
      <c r="B18" s="7" t="str">
        <f>Subj!B11</f>
        <v>identifier</v>
      </c>
      <c r="C18" s="7" t="str">
        <f>Subj!C11</f>
        <v>A.1.1.4 Personal identifier</v>
      </c>
      <c r="D18" s="7" t="s">
        <v>322</v>
      </c>
      <c r="E18" s="7"/>
      <c r="F18" s="48" t="s">
        <v>301</v>
      </c>
      <c r="G18" s="48"/>
      <c r="H18" s="49"/>
      <c r="I18" s="10" t="str">
        <f t="shared" si="4"/>
        <v>* group[=].element[+].code = #Subject.identifier</v>
      </c>
      <c r="J18" s="10" t="str">
        <f t="shared" si="5"/>
        <v>* group[=].element[=].display = ##34#A.1.1.4 Personal identifier##34#</v>
      </c>
      <c r="K18" s="10" t="str">
        <f t="shared" si="6"/>
        <v>* group[=].element[=].target.code = #Patient.birthDate</v>
      </c>
      <c r="L18" s="10" t="str">
        <f t="shared" si="7"/>
        <v>* group[=].element[=].target.display = ##34###34#</v>
      </c>
      <c r="M18" s="10" t="str">
        <f t="shared" si="8"/>
        <v>* group[=].element[=].target.equivalence = #equivalent</v>
      </c>
      <c r="N18" s="10" t="str">
        <f t="shared" si="3"/>
        <v/>
      </c>
      <c r="P18" s="7">
        <v>4</v>
      </c>
      <c r="Q18" s="7">
        <f t="shared" si="9"/>
        <v>0</v>
      </c>
      <c r="R18" s="7">
        <f t="shared" si="10"/>
        <v>4</v>
      </c>
      <c r="S18" s="10" t="str" cm="1">
        <f t="array" ref="S18">INDEX('Subj-ConceptMap-1'!$I$15:$N$270,Q18+1,R18)</f>
        <v>* group[=].element[=].target.display = ##34###34#</v>
      </c>
    </row>
    <row r="19" spans="1:19" ht="44.25" x14ac:dyDescent="0.75">
      <c r="A19" s="17"/>
      <c r="B19" s="7" t="str">
        <f>Subj!B12</f>
        <v>gender</v>
      </c>
      <c r="C19" s="7" t="str">
        <f>Subj!C12</f>
        <v>A.1.1.5 Gender</v>
      </c>
      <c r="D19" s="7" t="s">
        <v>272</v>
      </c>
      <c r="E19" s="7"/>
      <c r="F19" s="48" t="s">
        <v>301</v>
      </c>
      <c r="G19" s="48"/>
      <c r="H19" s="49"/>
      <c r="I19" s="10" t="str">
        <f t="shared" si="4"/>
        <v>* group[=].element[+].code = #Subject.gender</v>
      </c>
      <c r="J19" s="10" t="str">
        <f t="shared" si="5"/>
        <v>* group[=].element[=].display = ##34#A.1.1.5 Gender##34#</v>
      </c>
      <c r="K19" s="10" t="str">
        <f t="shared" si="6"/>
        <v>* group[=].element[=].target.code = #Patient.identifier</v>
      </c>
      <c r="L19" s="10" t="str">
        <f t="shared" si="7"/>
        <v>* group[=].element[=].target.display = ##34###34#</v>
      </c>
      <c r="M19" s="10" t="str">
        <f t="shared" si="8"/>
        <v>* group[=].element[=].target.equivalence = #equivalent</v>
      </c>
      <c r="N19" s="10" t="str">
        <f t="shared" si="3"/>
        <v/>
      </c>
      <c r="P19" s="7">
        <v>5</v>
      </c>
      <c r="Q19" s="7">
        <f t="shared" si="9"/>
        <v>0</v>
      </c>
      <c r="R19" s="7">
        <f t="shared" si="10"/>
        <v>5</v>
      </c>
      <c r="S19" s="10" t="str" cm="1">
        <f t="array" ref="S19">INDEX('Subj-ConceptMap-1'!$I$15:$N$270,Q19+1,R19)</f>
        <v>* group[=].element[=].target.equivalence = #relatedto</v>
      </c>
    </row>
    <row r="20" spans="1:19" ht="44.25" x14ac:dyDescent="0.75">
      <c r="A20" s="17"/>
      <c r="B20" s="7">
        <f>Subj!B13</f>
        <v>0</v>
      </c>
      <c r="C20" s="7">
        <f>Subj!C13</f>
        <v>0</v>
      </c>
      <c r="D20" s="7" t="s">
        <v>323</v>
      </c>
      <c r="E20" s="7"/>
      <c r="F20" s="48" t="s">
        <v>301</v>
      </c>
      <c r="G20" s="48"/>
      <c r="H20" s="49"/>
      <c r="I20" s="10" t="str">
        <f t="shared" si="4"/>
        <v>* group[=].element[+].code = #Subject.0</v>
      </c>
      <c r="J20" s="10" t="str">
        <f t="shared" si="5"/>
        <v>* group[=].element[=].display = ##34#0##34#</v>
      </c>
      <c r="K20" s="10" t="str">
        <f t="shared" si="6"/>
        <v>* group[=].element[=].target.code = #Patient.gender</v>
      </c>
      <c r="L20" s="10" t="str">
        <f t="shared" si="7"/>
        <v>* group[=].element[=].target.display = ##34###34#</v>
      </c>
      <c r="M20" s="10" t="str">
        <f t="shared" si="8"/>
        <v>* group[=].element[=].target.equivalence = #equivalent</v>
      </c>
      <c r="N20" s="10" t="str">
        <f t="shared" si="3"/>
        <v/>
      </c>
      <c r="P20" s="7">
        <v>6</v>
      </c>
      <c r="Q20" s="7">
        <f t="shared" si="9"/>
        <v>0</v>
      </c>
      <c r="R20" s="7">
        <f t="shared" si="10"/>
        <v>6</v>
      </c>
      <c r="S20" s="10" t="str" cm="1">
        <f t="array" ref="S20">INDEX('Subj-ConceptMap-1'!$I$15:$N$270,Q20+1,R20)</f>
        <v/>
      </c>
    </row>
    <row r="21" spans="1:19" ht="44.25" x14ac:dyDescent="0.75">
      <c r="A21" s="17"/>
      <c r="B21" s="7" t="e">
        <f>Subj!#REF!</f>
        <v>#REF!</v>
      </c>
      <c r="C21" s="7" t="e">
        <f>Subj!#REF!</f>
        <v>#REF!</v>
      </c>
      <c r="D21" s="10"/>
      <c r="E21" s="7"/>
      <c r="F21" s="48" t="s">
        <v>302</v>
      </c>
      <c r="G21" s="48"/>
      <c r="H21" s="49"/>
      <c r="I21" s="10" t="e">
        <f t="shared" si="4"/>
        <v>#REF!</v>
      </c>
      <c r="J21" s="10" t="e">
        <f t="shared" si="5"/>
        <v>#REF!</v>
      </c>
      <c r="K21" s="10" t="str">
        <f t="shared" si="6"/>
        <v>* group[=].element[=].target.code = #Patient</v>
      </c>
      <c r="L21" s="10" t="str">
        <f t="shared" si="7"/>
        <v>* group[=].element[=].target.display = ##34###34#</v>
      </c>
      <c r="M21" s="10" t="str">
        <f t="shared" si="8"/>
        <v>* group[=].element[=].target.equivalence = #relatedto</v>
      </c>
      <c r="N21" s="10" t="str">
        <f t="shared" si="3"/>
        <v/>
      </c>
      <c r="P21" s="7">
        <v>7</v>
      </c>
      <c r="Q21" s="7">
        <f t="shared" si="9"/>
        <v>1</v>
      </c>
      <c r="R21" s="7">
        <f t="shared" si="10"/>
        <v>1</v>
      </c>
      <c r="S21" s="10" t="str" cm="1">
        <f t="array" ref="S21">INDEX('Subj-ConceptMap-1'!$I$15:$N$270,Q21+1,R21)</f>
        <v>* group[=].element[+].code = #Subject.givenName</v>
      </c>
    </row>
    <row r="22" spans="1:19" ht="44.25" x14ac:dyDescent="0.75">
      <c r="A22" s="17"/>
      <c r="B22" s="7" t="e">
        <f>Subj!#REF!</f>
        <v>#REF!</v>
      </c>
      <c r="C22" s="7" t="e">
        <f>Subj!#REF!</f>
        <v>#REF!</v>
      </c>
      <c r="D22" s="7" t="s">
        <v>324</v>
      </c>
      <c r="E22" s="7"/>
      <c r="F22" s="48" t="s">
        <v>301</v>
      </c>
      <c r="G22" s="48"/>
      <c r="H22" s="49"/>
      <c r="I22" s="10" t="e">
        <f t="shared" si="4"/>
        <v>#REF!</v>
      </c>
      <c r="J22" s="10" t="e">
        <f t="shared" si="5"/>
        <v>#REF!</v>
      </c>
      <c r="K22" s="10" t="str">
        <f t="shared" si="6"/>
        <v>* group[=].element[=].target.code = #Patient.address</v>
      </c>
      <c r="L22" s="10" t="str">
        <f t="shared" si="7"/>
        <v>* group[=].element[=].target.display = ##34###34#</v>
      </c>
      <c r="M22" s="10" t="str">
        <f t="shared" si="8"/>
        <v>* group[=].element[=].target.equivalence = #equivalent</v>
      </c>
      <c r="N22" s="10" t="str">
        <f t="shared" si="3"/>
        <v/>
      </c>
      <c r="P22" s="7">
        <v>8</v>
      </c>
      <c r="Q22" s="7">
        <f t="shared" si="9"/>
        <v>1</v>
      </c>
      <c r="R22" s="7">
        <f t="shared" si="10"/>
        <v>2</v>
      </c>
      <c r="S22" s="10" t="str" cm="1">
        <f t="array" ref="S22">INDEX('Subj-ConceptMap-1'!$I$15:$N$270,Q22+1,R22)</f>
        <v>* group[=].element[=].display = ##34#A.1.1.2 Given name##34#</v>
      </c>
    </row>
    <row r="23" spans="1:19" ht="44.25" x14ac:dyDescent="0.75">
      <c r="A23" s="17"/>
      <c r="B23" s="7" t="e">
        <f>Subj!#REF!</f>
        <v>#REF!</v>
      </c>
      <c r="C23" s="7" t="e">
        <f>Subj!#REF!</f>
        <v>#REF!</v>
      </c>
      <c r="D23" s="7" t="s">
        <v>325</v>
      </c>
      <c r="E23" s="10"/>
      <c r="F23" s="48" t="s">
        <v>301</v>
      </c>
      <c r="G23" s="48"/>
      <c r="H23" s="49"/>
      <c r="I23" s="10" t="e">
        <f t="shared" si="4"/>
        <v>#REF!</v>
      </c>
      <c r="J23" s="10" t="e">
        <f t="shared" si="5"/>
        <v>#REF!</v>
      </c>
      <c r="K23" s="10" t="str">
        <f t="shared" si="6"/>
        <v>* group[=].element[=].target.code = #Patient.telecom</v>
      </c>
      <c r="L23" s="10" t="str">
        <f t="shared" si="7"/>
        <v>* group[=].element[=].target.display = ##34###34#</v>
      </c>
      <c r="M23" s="10" t="str">
        <f t="shared" si="8"/>
        <v>* group[=].element[=].target.equivalence = #equivalent</v>
      </c>
      <c r="N23" s="10" t="str">
        <f t="shared" si="3"/>
        <v/>
      </c>
      <c r="P23" s="7">
        <v>9</v>
      </c>
      <c r="Q23" s="7">
        <f t="shared" si="9"/>
        <v>1</v>
      </c>
      <c r="R23" s="7">
        <f t="shared" si="10"/>
        <v>3</v>
      </c>
      <c r="S23" s="10" t="str" cm="1">
        <f t="array" ref="S23">INDEX('Subj-ConceptMap-1'!$I$15:$N$270,Q23+1,R23)</f>
        <v>* group[=].element[=].target.code = #Patient.name.family</v>
      </c>
    </row>
    <row r="24" spans="1:19" x14ac:dyDescent="0.75">
      <c r="A24" s="17"/>
      <c r="B24" s="7"/>
      <c r="C24" s="7"/>
      <c r="D24" s="10"/>
      <c r="E24" s="10"/>
      <c r="F24" s="48"/>
      <c r="G24" s="48"/>
      <c r="H24" s="49"/>
      <c r="I24" s="10"/>
      <c r="J24" s="10"/>
      <c r="K24" s="10"/>
      <c r="L24" s="10"/>
      <c r="M24" s="10"/>
      <c r="N24" s="10"/>
      <c r="P24" s="7">
        <v>10</v>
      </c>
      <c r="Q24" s="7">
        <f t="shared" ref="Q24:Q55" si="11">IF(MOD(P24,$Q$8)=0,P24/$Q$8-1,INT(P24/$Q$8))</f>
        <v>1</v>
      </c>
      <c r="R24" s="7">
        <f t="shared" ref="R24:R55" si="12">IF(MOD(P24,$Q$8)=0,$Q$8,MOD(P24,$Q$8))</f>
        <v>4</v>
      </c>
      <c r="S24" s="10" t="str" cm="1">
        <f t="array" ref="S24">INDEX('Subj-ConceptMap-1'!$I$15:$N$270,Q24+1,R24)</f>
        <v>* group[=].element[=].target.display = ##34###34#</v>
      </c>
    </row>
    <row r="25" spans="1:19" x14ac:dyDescent="0.75">
      <c r="B25" s="7"/>
      <c r="C25" s="7"/>
      <c r="D25" s="10"/>
      <c r="E25" s="10"/>
      <c r="F25" s="48"/>
      <c r="G25" s="48"/>
      <c r="H25" s="49"/>
      <c r="I25" s="10"/>
      <c r="J25" s="10"/>
      <c r="K25" s="10"/>
      <c r="L25" s="10"/>
      <c r="M25" s="10"/>
      <c r="N25" s="10"/>
      <c r="P25" s="7">
        <v>11</v>
      </c>
      <c r="Q25" s="7">
        <f t="shared" si="11"/>
        <v>1</v>
      </c>
      <c r="R25" s="7">
        <f t="shared" si="12"/>
        <v>5</v>
      </c>
      <c r="S25" s="10" t="str" cm="1">
        <f t="array" ref="S25">INDEX('Subj-ConceptMap-1'!$I$15:$N$270,Q25+1,R25)</f>
        <v>* group[=].element[=].target.equivalence = #equivalent</v>
      </c>
    </row>
    <row r="26" spans="1:19" x14ac:dyDescent="0.75">
      <c r="B26" s="7"/>
      <c r="C26" s="7"/>
      <c r="D26" s="10"/>
      <c r="E26" s="10"/>
      <c r="F26" s="48"/>
      <c r="G26" s="48"/>
      <c r="H26" s="49"/>
      <c r="I26" s="10"/>
      <c r="J26" s="10"/>
      <c r="K26" s="10"/>
      <c r="L26" s="10"/>
      <c r="M26" s="10"/>
      <c r="N26" s="10"/>
      <c r="P26" s="7">
        <v>12</v>
      </c>
      <c r="Q26" s="7">
        <f t="shared" si="11"/>
        <v>1</v>
      </c>
      <c r="R26" s="7">
        <f t="shared" si="12"/>
        <v>6</v>
      </c>
      <c r="S26" s="10" t="str" cm="1">
        <f t="array" ref="S26">INDEX('Subj-ConceptMap-1'!$I$15:$N$270,Q26+1,R26)</f>
        <v/>
      </c>
    </row>
    <row r="27" spans="1:19" x14ac:dyDescent="0.75">
      <c r="B27" s="7"/>
      <c r="C27" s="7"/>
      <c r="D27" s="10"/>
      <c r="E27" s="10"/>
      <c r="F27" s="48"/>
      <c r="G27" s="48"/>
      <c r="H27" s="49"/>
      <c r="I27" s="10"/>
      <c r="J27" s="10"/>
      <c r="K27" s="10"/>
      <c r="L27" s="10"/>
      <c r="M27" s="10"/>
      <c r="N27" s="10"/>
      <c r="P27" s="7">
        <v>13</v>
      </c>
      <c r="Q27" s="7">
        <f t="shared" si="11"/>
        <v>2</v>
      </c>
      <c r="R27" s="7">
        <f t="shared" si="12"/>
        <v>1</v>
      </c>
      <c r="S27" s="10" t="str" cm="1">
        <f t="array" ref="S27">INDEX('Subj-ConceptMap-1'!$I$15:$N$270,Q27+1,R27)</f>
        <v>* group[=].element[+].code = #Subject.dateOfBirth</v>
      </c>
    </row>
    <row r="28" spans="1:19" x14ac:dyDescent="0.75">
      <c r="B28" s="7"/>
      <c r="C28" s="7"/>
      <c r="D28" s="10"/>
      <c r="E28" s="10"/>
      <c r="F28" s="48"/>
      <c r="G28" s="48"/>
      <c r="H28" s="49"/>
      <c r="I28" s="10"/>
      <c r="J28" s="10"/>
      <c r="K28" s="10"/>
      <c r="L28" s="10"/>
      <c r="M28" s="10"/>
      <c r="N28" s="10"/>
      <c r="P28" s="7">
        <v>14</v>
      </c>
      <c r="Q28" s="7">
        <f t="shared" si="11"/>
        <v>2</v>
      </c>
      <c r="R28" s="7">
        <f t="shared" si="12"/>
        <v>2</v>
      </c>
      <c r="S28" s="10" t="str" cm="1">
        <f t="array" ref="S28">INDEX('Subj-ConceptMap-1'!$I$15:$N$270,Q28+1,R28)</f>
        <v>* group[=].element[=].display = ##34#A.1.1.3 Date of birth##34#</v>
      </c>
    </row>
    <row r="29" spans="1:19" x14ac:dyDescent="0.75">
      <c r="B29" s="7"/>
      <c r="C29" s="7"/>
      <c r="D29" s="10"/>
      <c r="E29" s="10"/>
      <c r="F29" s="48"/>
      <c r="G29" s="48"/>
      <c r="H29" s="49"/>
      <c r="I29" s="10"/>
      <c r="J29" s="10"/>
      <c r="K29" s="10"/>
      <c r="L29" s="10"/>
      <c r="M29" s="10"/>
      <c r="N29" s="10"/>
      <c r="P29" s="7">
        <v>15</v>
      </c>
      <c r="Q29" s="7">
        <f t="shared" si="11"/>
        <v>2</v>
      </c>
      <c r="R29" s="7">
        <f t="shared" si="12"/>
        <v>3</v>
      </c>
      <c r="S29" s="10" t="str" cm="1">
        <f t="array" ref="S29">INDEX('Subj-ConceptMap-1'!$I$15:$N$270,Q29+1,R29)</f>
        <v>* group[=].element[=].target.code = #Patient.name.given</v>
      </c>
    </row>
    <row r="30" spans="1:19" x14ac:dyDescent="0.75">
      <c r="B30" s="7"/>
      <c r="C30" s="7"/>
      <c r="D30" s="10"/>
      <c r="E30" s="10"/>
      <c r="F30" s="48"/>
      <c r="G30" s="48"/>
      <c r="H30" s="49"/>
      <c r="I30" s="10"/>
      <c r="J30" s="10"/>
      <c r="K30" s="10"/>
      <c r="L30" s="10"/>
      <c r="M30" s="10"/>
      <c r="N30" s="10"/>
      <c r="P30" s="7">
        <v>16</v>
      </c>
      <c r="Q30" s="7">
        <f t="shared" si="11"/>
        <v>2</v>
      </c>
      <c r="R30" s="7">
        <f t="shared" si="12"/>
        <v>4</v>
      </c>
      <c r="S30" s="10" t="str" cm="1">
        <f t="array" ref="S30">INDEX('Subj-ConceptMap-1'!$I$15:$N$270,Q30+1,R30)</f>
        <v>* group[=].element[=].target.display = ##34###34#</v>
      </c>
    </row>
    <row r="31" spans="1:19" x14ac:dyDescent="0.75">
      <c r="B31" s="7"/>
      <c r="C31" s="7"/>
      <c r="D31" s="10"/>
      <c r="E31" s="10"/>
      <c r="F31" s="48"/>
      <c r="G31" s="48"/>
      <c r="H31" s="49"/>
      <c r="I31" s="10"/>
      <c r="J31" s="10"/>
      <c r="K31" s="10"/>
      <c r="L31" s="10"/>
      <c r="M31" s="10"/>
      <c r="N31" s="10"/>
      <c r="P31" s="7">
        <v>17</v>
      </c>
      <c r="Q31" s="7">
        <f t="shared" si="11"/>
        <v>2</v>
      </c>
      <c r="R31" s="7">
        <f t="shared" si="12"/>
        <v>5</v>
      </c>
      <c r="S31" s="10" t="str" cm="1">
        <f t="array" ref="S31">INDEX('Subj-ConceptMap-1'!$I$15:$N$270,Q31+1,R31)</f>
        <v>* group[=].element[=].target.equivalence = #equivalent</v>
      </c>
    </row>
    <row r="32" spans="1:19" x14ac:dyDescent="0.75">
      <c r="B32" s="7"/>
      <c r="C32" s="7"/>
      <c r="D32" s="10"/>
      <c r="E32" s="10"/>
      <c r="F32" s="48"/>
      <c r="G32" s="48"/>
      <c r="H32" s="49"/>
      <c r="I32" s="10"/>
      <c r="J32" s="10"/>
      <c r="K32" s="10"/>
      <c r="L32" s="10"/>
      <c r="M32" s="10"/>
      <c r="N32" s="1"/>
      <c r="P32" s="7">
        <v>18</v>
      </c>
      <c r="Q32" s="7">
        <f t="shared" si="11"/>
        <v>2</v>
      </c>
      <c r="R32" s="7">
        <f t="shared" si="12"/>
        <v>6</v>
      </c>
      <c r="S32" s="10" t="str" cm="1">
        <f t="array" ref="S32">INDEX('Subj-ConceptMap-1'!$I$15:$N$270,Q32+1,R32)</f>
        <v/>
      </c>
    </row>
    <row r="33" spans="1:19" x14ac:dyDescent="0.75">
      <c r="B33" s="7"/>
      <c r="C33" s="7"/>
      <c r="D33" s="10"/>
      <c r="E33" s="10"/>
      <c r="F33" s="48"/>
      <c r="G33" s="48"/>
      <c r="H33" s="49"/>
      <c r="I33" s="10"/>
      <c r="J33" s="10"/>
      <c r="K33" s="10"/>
      <c r="L33" s="10"/>
      <c r="M33" s="10"/>
      <c r="N33" s="1"/>
      <c r="P33" s="7">
        <v>19</v>
      </c>
      <c r="Q33" s="7">
        <f t="shared" si="11"/>
        <v>3</v>
      </c>
      <c r="R33" s="7">
        <f t="shared" si="12"/>
        <v>1</v>
      </c>
      <c r="S33" s="10" t="str" cm="1">
        <f t="array" ref="S33">INDEX('Subj-ConceptMap-1'!$I$15:$N$270,Q33+1,R33)</f>
        <v>* group[=].element[+].code = #Subject.identifier</v>
      </c>
    </row>
    <row r="34" spans="1:19" x14ac:dyDescent="0.75">
      <c r="B34" s="7"/>
      <c r="C34" s="7"/>
      <c r="D34" s="10"/>
      <c r="E34" s="10"/>
      <c r="F34" s="48"/>
      <c r="G34" s="48"/>
      <c r="H34" s="49"/>
      <c r="I34" s="10"/>
      <c r="J34" s="10"/>
      <c r="K34" s="10"/>
      <c r="L34" s="10"/>
      <c r="M34" s="10"/>
      <c r="N34" s="1"/>
      <c r="P34" s="7">
        <v>20</v>
      </c>
      <c r="Q34" s="7">
        <f t="shared" si="11"/>
        <v>3</v>
      </c>
      <c r="R34" s="7">
        <f t="shared" si="12"/>
        <v>2</v>
      </c>
      <c r="S34" s="10" t="str" cm="1">
        <f t="array" ref="S34">INDEX('Subj-ConceptMap-1'!$I$15:$N$270,Q34+1,R34)</f>
        <v>* group[=].element[=].display = ##34#A.1.1.4 Personal identifier##34#</v>
      </c>
    </row>
    <row r="35" spans="1:19" x14ac:dyDescent="0.75">
      <c r="B35" s="7"/>
      <c r="C35" s="7"/>
      <c r="D35" s="10"/>
      <c r="E35" s="10"/>
      <c r="F35" s="48"/>
      <c r="G35" s="48"/>
      <c r="H35" s="49"/>
      <c r="K35" s="49"/>
      <c r="L35" s="49"/>
      <c r="M35" s="47"/>
      <c r="N35" s="47"/>
      <c r="P35" s="7">
        <v>21</v>
      </c>
      <c r="Q35" s="7">
        <f t="shared" si="11"/>
        <v>3</v>
      </c>
      <c r="R35" s="7">
        <f t="shared" si="12"/>
        <v>3</v>
      </c>
      <c r="S35" s="10" t="str" cm="1">
        <f t="array" ref="S35">INDEX('Subj-ConceptMap-1'!$I$15:$N$270,Q35+1,R35)</f>
        <v>* group[=].element[=].target.code = #Patient.birthDate</v>
      </c>
    </row>
    <row r="36" spans="1:19" x14ac:dyDescent="0.75">
      <c r="B36" s="7"/>
      <c r="C36" s="7"/>
      <c r="D36" s="10"/>
      <c r="E36" s="10"/>
      <c r="F36" s="48"/>
      <c r="G36" s="48"/>
      <c r="H36" s="49"/>
      <c r="K36" s="49"/>
      <c r="L36" s="49"/>
      <c r="M36" s="47"/>
      <c r="N36" s="47"/>
      <c r="P36" s="7">
        <v>22</v>
      </c>
      <c r="Q36" s="7">
        <f t="shared" si="11"/>
        <v>3</v>
      </c>
      <c r="R36" s="7">
        <f t="shared" si="12"/>
        <v>4</v>
      </c>
      <c r="S36" s="10" t="str" cm="1">
        <f t="array" ref="S36">INDEX('Subj-ConceptMap-1'!$I$15:$N$270,Q36+1,R36)</f>
        <v>* group[=].element[=].target.display = ##34###34#</v>
      </c>
    </row>
    <row r="37" spans="1:19" s="1" customFormat="1" x14ac:dyDescent="0.75">
      <c r="A37"/>
      <c r="B37" s="7"/>
      <c r="C37" s="7"/>
      <c r="D37" s="10"/>
      <c r="E37" s="10"/>
      <c r="F37" s="48"/>
      <c r="G37" s="49"/>
      <c r="H37" s="49"/>
      <c r="J37"/>
      <c r="K37" s="49"/>
      <c r="L37" s="49"/>
      <c r="M37" s="47"/>
      <c r="N37" s="47"/>
      <c r="P37" s="7">
        <v>23</v>
      </c>
      <c r="Q37" s="7">
        <f t="shared" si="11"/>
        <v>3</v>
      </c>
      <c r="R37" s="7">
        <f t="shared" si="12"/>
        <v>5</v>
      </c>
      <c r="S37" s="10" t="str" cm="1">
        <f t="array" ref="S37">INDEX('Subj-ConceptMap-1'!$I$15:$N$270,Q37+1,R37)</f>
        <v>* group[=].element[=].target.equivalence = #equivalent</v>
      </c>
    </row>
    <row r="38" spans="1:19" s="1" customFormat="1" x14ac:dyDescent="0.75">
      <c r="A38"/>
      <c r="B38" s="7"/>
      <c r="C38" s="7"/>
      <c r="D38" s="39"/>
      <c r="F38" s="49"/>
      <c r="G38" s="49"/>
      <c r="H38" s="49"/>
      <c r="J38"/>
      <c r="K38" s="49"/>
      <c r="L38" s="49"/>
      <c r="M38" s="47"/>
      <c r="N38" s="47"/>
      <c r="P38" s="7">
        <v>24</v>
      </c>
      <c r="Q38" s="7">
        <f t="shared" si="11"/>
        <v>3</v>
      </c>
      <c r="R38" s="7">
        <f t="shared" si="12"/>
        <v>6</v>
      </c>
      <c r="S38" s="10" t="str" cm="1">
        <f t="array" ref="S38">INDEX('Subj-ConceptMap-1'!$I$15:$N$270,Q38+1,R38)</f>
        <v/>
      </c>
    </row>
    <row r="39" spans="1:19" s="1" customFormat="1" x14ac:dyDescent="0.75">
      <c r="A39"/>
      <c r="B39" s="7"/>
      <c r="C39" s="7"/>
      <c r="F39" s="49"/>
      <c r="G39" s="49"/>
      <c r="H39" s="49"/>
      <c r="J39"/>
      <c r="K39" s="49"/>
      <c r="L39" s="49"/>
      <c r="M39" s="47"/>
      <c r="N39" s="47"/>
      <c r="P39" s="7">
        <v>25</v>
      </c>
      <c r="Q39" s="7">
        <f t="shared" si="11"/>
        <v>4</v>
      </c>
      <c r="R39" s="7">
        <f t="shared" si="12"/>
        <v>1</v>
      </c>
      <c r="S39" s="10" t="str" cm="1">
        <f t="array" ref="S39">INDEX('Subj-ConceptMap-1'!$I$15:$N$270,Q39+1,R39)</f>
        <v>* group[=].element[+].code = #Subject.gender</v>
      </c>
    </row>
    <row r="40" spans="1:19" s="1" customFormat="1" x14ac:dyDescent="0.75">
      <c r="A40"/>
      <c r="B40" s="7"/>
      <c r="C40" s="7"/>
      <c r="F40" s="49"/>
      <c r="G40" s="49"/>
      <c r="H40" s="49"/>
      <c r="J40" s="49"/>
      <c r="K40" s="49"/>
      <c r="L40" s="49"/>
      <c r="M40" s="47"/>
      <c r="N40" s="47"/>
      <c r="P40" s="7">
        <v>26</v>
      </c>
      <c r="Q40" s="7">
        <f t="shared" si="11"/>
        <v>4</v>
      </c>
      <c r="R40" s="7">
        <f t="shared" si="12"/>
        <v>2</v>
      </c>
      <c r="S40" s="10" t="str" cm="1">
        <f t="array" ref="S40">INDEX('Subj-ConceptMap-1'!$I$15:$N$270,Q40+1,R40)</f>
        <v>* group[=].element[=].display = ##34#A.1.1.5 Gender##34#</v>
      </c>
    </row>
    <row r="41" spans="1:19" s="1" customFormat="1" x14ac:dyDescent="0.75">
      <c r="A41"/>
      <c r="B41" s="7"/>
      <c r="C41" s="7"/>
      <c r="F41" s="49"/>
      <c r="G41" s="49"/>
      <c r="H41" s="49"/>
      <c r="J41" s="49"/>
      <c r="K41" s="49"/>
      <c r="L41" s="49"/>
      <c r="M41" s="47"/>
      <c r="N41" s="47"/>
      <c r="P41" s="7">
        <v>27</v>
      </c>
      <c r="Q41" s="7">
        <f t="shared" si="11"/>
        <v>4</v>
      </c>
      <c r="R41" s="7">
        <f t="shared" si="12"/>
        <v>3</v>
      </c>
      <c r="S41" s="10" t="str" cm="1">
        <f t="array" ref="S41">INDEX('Subj-ConceptMap-1'!$I$15:$N$270,Q41+1,R41)</f>
        <v>* group[=].element[=].target.code = #Patient.identifier</v>
      </c>
    </row>
    <row r="42" spans="1:19" s="1" customFormat="1" x14ac:dyDescent="0.75">
      <c r="A42"/>
      <c r="B42" s="7"/>
      <c r="C42" s="7"/>
      <c r="F42" s="49"/>
      <c r="G42" s="49"/>
      <c r="H42" s="49"/>
      <c r="J42" s="49"/>
      <c r="K42" s="49"/>
      <c r="L42" s="49"/>
      <c r="M42" s="47"/>
      <c r="N42" s="47"/>
      <c r="P42" s="7">
        <v>28</v>
      </c>
      <c r="Q42" s="7">
        <f t="shared" si="11"/>
        <v>4</v>
      </c>
      <c r="R42" s="7">
        <f t="shared" si="12"/>
        <v>4</v>
      </c>
      <c r="S42" s="10" t="str" cm="1">
        <f t="array" ref="S42">INDEX('Subj-ConceptMap-1'!$I$15:$N$270,Q42+1,R42)</f>
        <v>* group[=].element[=].target.display = ##34###34#</v>
      </c>
    </row>
    <row r="43" spans="1:19" s="1" customFormat="1" x14ac:dyDescent="0.75">
      <c r="A43"/>
      <c r="B43" s="7"/>
      <c r="C43" s="7"/>
      <c r="F43" s="49"/>
      <c r="G43" s="49"/>
      <c r="H43" s="49"/>
      <c r="J43" s="49"/>
      <c r="K43" s="49"/>
      <c r="L43" s="49"/>
      <c r="M43" s="49"/>
      <c r="N43" s="49"/>
      <c r="P43" s="7">
        <v>29</v>
      </c>
      <c r="Q43" s="7">
        <f t="shared" si="11"/>
        <v>4</v>
      </c>
      <c r="R43" s="7">
        <f t="shared" si="12"/>
        <v>5</v>
      </c>
      <c r="S43" s="10" t="str" cm="1">
        <f t="array" ref="S43">INDEX('Subj-ConceptMap-1'!$I$15:$N$270,Q43+1,R43)</f>
        <v>* group[=].element[=].target.equivalence = #equivalent</v>
      </c>
    </row>
    <row r="44" spans="1:19" s="1" customFormat="1" x14ac:dyDescent="0.75">
      <c r="A44"/>
      <c r="B44" s="7"/>
      <c r="C44"/>
      <c r="F44" s="49"/>
      <c r="G44" s="49"/>
      <c r="H44" s="49"/>
      <c r="J44" s="49"/>
      <c r="K44" s="49"/>
      <c r="L44" s="49"/>
      <c r="M44" s="49"/>
      <c r="N44" s="49"/>
      <c r="P44" s="7">
        <v>30</v>
      </c>
      <c r="Q44" s="7">
        <f t="shared" si="11"/>
        <v>4</v>
      </c>
      <c r="R44" s="7">
        <f t="shared" si="12"/>
        <v>6</v>
      </c>
      <c r="S44" s="10" t="str" cm="1">
        <f t="array" ref="S44">INDEX('Subj-ConceptMap-1'!$I$15:$N$270,Q44+1,R44)</f>
        <v/>
      </c>
    </row>
    <row r="45" spans="1:19" s="1" customFormat="1" x14ac:dyDescent="0.75">
      <c r="A45"/>
      <c r="B45" s="7"/>
      <c r="C45"/>
      <c r="F45" s="49"/>
      <c r="G45" s="49"/>
      <c r="H45" s="49"/>
      <c r="J45" s="49"/>
      <c r="K45" s="49"/>
      <c r="L45" s="49"/>
      <c r="M45" s="49"/>
      <c r="N45" s="49"/>
      <c r="P45" s="7">
        <v>31</v>
      </c>
      <c r="Q45" s="7">
        <f t="shared" si="11"/>
        <v>5</v>
      </c>
      <c r="R45" s="7">
        <f t="shared" si="12"/>
        <v>1</v>
      </c>
      <c r="S45" s="10" t="str" cm="1">
        <f t="array" ref="S45">INDEX('Subj-ConceptMap-1'!$I$15:$N$270,Q45+1,R45)</f>
        <v>* group[=].element[+].code = #Subject.0</v>
      </c>
    </row>
    <row r="46" spans="1:19" s="1" customFormat="1" x14ac:dyDescent="0.75">
      <c r="A46"/>
      <c r="B46" s="7"/>
      <c r="C46"/>
      <c r="F46" s="49"/>
      <c r="G46" s="49"/>
      <c r="H46" s="49"/>
      <c r="J46" s="49"/>
      <c r="K46" s="49"/>
      <c r="L46" s="49"/>
      <c r="M46" s="49"/>
      <c r="N46" s="49"/>
      <c r="P46" s="7">
        <v>32</v>
      </c>
      <c r="Q46" s="7">
        <f t="shared" si="11"/>
        <v>5</v>
      </c>
      <c r="R46" s="7">
        <f t="shared" si="12"/>
        <v>2</v>
      </c>
      <c r="S46" s="10" t="str" cm="1">
        <f t="array" ref="S46">INDEX('Subj-ConceptMap-1'!$I$15:$N$270,Q46+1,R46)</f>
        <v>* group[=].element[=].display = ##34#0##34#</v>
      </c>
    </row>
    <row r="47" spans="1:19" s="1" customFormat="1" x14ac:dyDescent="0.75">
      <c r="A47"/>
      <c r="B47" s="7"/>
      <c r="C47"/>
      <c r="F47" s="49"/>
      <c r="G47" s="49"/>
      <c r="H47" s="49"/>
      <c r="J47" s="49"/>
      <c r="K47" s="49"/>
      <c r="L47" s="49"/>
      <c r="M47" s="49"/>
      <c r="N47" s="49"/>
      <c r="P47" s="7">
        <v>33</v>
      </c>
      <c r="Q47" s="7">
        <f t="shared" si="11"/>
        <v>5</v>
      </c>
      <c r="R47" s="7">
        <f t="shared" si="12"/>
        <v>3</v>
      </c>
      <c r="S47" s="10" t="str" cm="1">
        <f t="array" ref="S47">INDEX('Subj-ConceptMap-1'!$I$15:$N$270,Q47+1,R47)</f>
        <v>* group[=].element[=].target.code = #Patient.gender</v>
      </c>
    </row>
    <row r="48" spans="1:19" s="1" customFormat="1" x14ac:dyDescent="0.75">
      <c r="A48"/>
      <c r="B48" s="7"/>
      <c r="C48"/>
      <c r="F48" s="49"/>
      <c r="G48" s="49"/>
      <c r="H48" s="49"/>
      <c r="J48" s="49"/>
      <c r="K48" s="49"/>
      <c r="L48" s="49"/>
      <c r="M48" s="49"/>
      <c r="N48" s="49"/>
      <c r="P48" s="7">
        <v>34</v>
      </c>
      <c r="Q48" s="7">
        <f t="shared" si="11"/>
        <v>5</v>
      </c>
      <c r="R48" s="7">
        <f t="shared" si="12"/>
        <v>4</v>
      </c>
      <c r="S48" s="10" t="str" cm="1">
        <f t="array" ref="S48">INDEX('Subj-ConceptMap-1'!$I$15:$N$270,Q48+1,R48)</f>
        <v>* group[=].element[=].target.display = ##34###34#</v>
      </c>
    </row>
    <row r="49" spans="5:19" x14ac:dyDescent="0.75">
      <c r="F49" s="49"/>
      <c r="G49" s="49"/>
      <c r="H49" s="49"/>
      <c r="J49" s="49"/>
      <c r="K49" s="49"/>
      <c r="L49" s="49"/>
      <c r="M49" s="49"/>
      <c r="N49" s="49"/>
      <c r="P49" s="7">
        <v>35</v>
      </c>
      <c r="Q49" s="7">
        <f t="shared" si="11"/>
        <v>5</v>
      </c>
      <c r="R49" s="7">
        <f t="shared" si="12"/>
        <v>5</v>
      </c>
      <c r="S49" s="10" t="str" cm="1">
        <f t="array" ref="S49">INDEX('Subj-ConceptMap-1'!$I$15:$N$270,Q49+1,R49)</f>
        <v>* group[=].element[=].target.equivalence = #equivalent</v>
      </c>
    </row>
    <row r="50" spans="5:19" x14ac:dyDescent="0.75">
      <c r="F50" s="49"/>
      <c r="G50" s="49"/>
      <c r="H50" s="49"/>
      <c r="J50" s="49"/>
      <c r="K50" s="49"/>
      <c r="L50" s="49"/>
      <c r="M50" s="49"/>
      <c r="N50" s="49"/>
      <c r="P50" s="7">
        <v>36</v>
      </c>
      <c r="Q50" s="7">
        <f t="shared" si="11"/>
        <v>5</v>
      </c>
      <c r="R50" s="7">
        <f t="shared" si="12"/>
        <v>6</v>
      </c>
      <c r="S50" s="10" t="str" cm="1">
        <f t="array" ref="S50">INDEX('Subj-ConceptMap-1'!$I$15:$N$270,Q50+1,R50)</f>
        <v/>
      </c>
    </row>
    <row r="51" spans="5:19" x14ac:dyDescent="0.75">
      <c r="F51" s="49"/>
      <c r="G51" s="49"/>
      <c r="H51" s="49"/>
      <c r="J51" s="49"/>
      <c r="K51" s="49"/>
      <c r="L51" s="49"/>
      <c r="M51" s="49"/>
      <c r="N51" s="49"/>
      <c r="P51" s="7">
        <v>37</v>
      </c>
      <c r="Q51" s="7">
        <f t="shared" si="11"/>
        <v>6</v>
      </c>
      <c r="R51" s="7">
        <f t="shared" si="12"/>
        <v>1</v>
      </c>
      <c r="S51" s="10" t="e" cm="1">
        <f t="array" ref="S51">INDEX('Subj-ConceptMap-1'!$I$15:$N$270,Q51+1,R51)</f>
        <v>#REF!</v>
      </c>
    </row>
    <row r="52" spans="5:19" x14ac:dyDescent="0.75">
      <c r="F52" s="49"/>
      <c r="G52" s="49"/>
      <c r="H52" s="49"/>
      <c r="J52" s="49"/>
      <c r="K52" s="49"/>
      <c r="L52" s="49"/>
      <c r="M52" s="49"/>
      <c r="N52" s="49"/>
      <c r="P52" s="7">
        <v>38</v>
      </c>
      <c r="Q52" s="7">
        <f t="shared" si="11"/>
        <v>6</v>
      </c>
      <c r="R52" s="7">
        <f t="shared" si="12"/>
        <v>2</v>
      </c>
      <c r="S52" s="10" t="e" cm="1">
        <f t="array" ref="S52">INDEX('Subj-ConceptMap-1'!$I$15:$N$270,Q52+1,R52)</f>
        <v>#REF!</v>
      </c>
    </row>
    <row r="53" spans="5:19" x14ac:dyDescent="0.75">
      <c r="E53"/>
      <c r="P53" s="7">
        <v>39</v>
      </c>
      <c r="Q53" s="7">
        <f t="shared" si="11"/>
        <v>6</v>
      </c>
      <c r="R53" s="7">
        <f t="shared" si="12"/>
        <v>3</v>
      </c>
      <c r="S53" s="10" t="str" cm="1">
        <f t="array" ref="S53">INDEX('Subj-ConceptMap-1'!$I$15:$N$270,Q53+1,R53)</f>
        <v>* group[=].element[=].target.code = #Patient</v>
      </c>
    </row>
    <row r="54" spans="5:19" x14ac:dyDescent="0.75">
      <c r="P54" s="7">
        <v>40</v>
      </c>
      <c r="Q54" s="7">
        <f t="shared" si="11"/>
        <v>6</v>
      </c>
      <c r="R54" s="7">
        <f t="shared" si="12"/>
        <v>4</v>
      </c>
      <c r="S54" s="10" t="str" cm="1">
        <f t="array" ref="S54">INDEX('Subj-ConceptMap-1'!$I$15:$N$270,Q54+1,R54)</f>
        <v>* group[=].element[=].target.display = ##34###34#</v>
      </c>
    </row>
    <row r="55" spans="5:19" x14ac:dyDescent="0.75">
      <c r="P55" s="7">
        <v>41</v>
      </c>
      <c r="Q55" s="7">
        <f t="shared" si="11"/>
        <v>6</v>
      </c>
      <c r="R55" s="7">
        <f t="shared" si="12"/>
        <v>5</v>
      </c>
      <c r="S55" s="10" t="str" cm="1">
        <f t="array" ref="S55">INDEX('Subj-ConceptMap-1'!$I$15:$N$270,Q55+1,R55)</f>
        <v>* group[=].element[=].target.equivalence = #relatedto</v>
      </c>
    </row>
    <row r="56" spans="5:19" x14ac:dyDescent="0.75">
      <c r="P56" s="7">
        <v>42</v>
      </c>
      <c r="Q56" s="7">
        <f t="shared" ref="Q56:Q66" si="13">IF(MOD(P56,$Q$8)=0,P56/$Q$8-1,INT(P56/$Q$8))</f>
        <v>6</v>
      </c>
      <c r="R56" s="7">
        <f t="shared" ref="R56:R66" si="14">IF(MOD(P56,$Q$8)=0,$Q$8,MOD(P56,$Q$8))</f>
        <v>6</v>
      </c>
      <c r="S56" s="10" t="str" cm="1">
        <f t="array" ref="S56">INDEX('Subj-ConceptMap-1'!$I$15:$N$270,Q56+1,R56)</f>
        <v/>
      </c>
    </row>
    <row r="57" spans="5:19" x14ac:dyDescent="0.75">
      <c r="P57" s="7">
        <v>43</v>
      </c>
      <c r="Q57" s="7">
        <f t="shared" si="13"/>
        <v>7</v>
      </c>
      <c r="R57" s="7">
        <f t="shared" si="14"/>
        <v>1</v>
      </c>
      <c r="S57" s="10" t="e" cm="1">
        <f t="array" ref="S57">INDEX('Subj-ConceptMap-1'!$I$15:$N$270,Q57+1,R57)</f>
        <v>#REF!</v>
      </c>
    </row>
    <row r="58" spans="5:19" x14ac:dyDescent="0.75">
      <c r="P58" s="7">
        <v>44</v>
      </c>
      <c r="Q58" s="7">
        <f t="shared" si="13"/>
        <v>7</v>
      </c>
      <c r="R58" s="7">
        <f t="shared" si="14"/>
        <v>2</v>
      </c>
      <c r="S58" s="10" t="e" cm="1">
        <f t="array" ref="S58">INDEX('Subj-ConceptMap-1'!$I$15:$N$270,Q58+1,R58)</f>
        <v>#REF!</v>
      </c>
    </row>
    <row r="59" spans="5:19" x14ac:dyDescent="0.75">
      <c r="P59" s="7">
        <v>45</v>
      </c>
      <c r="Q59" s="7">
        <f t="shared" si="13"/>
        <v>7</v>
      </c>
      <c r="R59" s="7">
        <f t="shared" si="14"/>
        <v>3</v>
      </c>
      <c r="S59" s="10" t="str" cm="1">
        <f t="array" ref="S59">INDEX('Subj-ConceptMap-1'!$I$15:$N$270,Q59+1,R59)</f>
        <v>* group[=].element[=].target.code = #Patient.address</v>
      </c>
    </row>
    <row r="60" spans="5:19" x14ac:dyDescent="0.75">
      <c r="P60" s="7">
        <v>46</v>
      </c>
      <c r="Q60" s="7">
        <f t="shared" si="13"/>
        <v>7</v>
      </c>
      <c r="R60" s="7">
        <f t="shared" si="14"/>
        <v>4</v>
      </c>
      <c r="S60" s="10" t="str" cm="1">
        <f t="array" ref="S60">INDEX('Subj-ConceptMap-1'!$I$15:$N$270,Q60+1,R60)</f>
        <v>* group[=].element[=].target.display = ##34###34#</v>
      </c>
    </row>
    <row r="61" spans="5:19" x14ac:dyDescent="0.75">
      <c r="P61" s="7">
        <v>47</v>
      </c>
      <c r="Q61" s="7">
        <f t="shared" si="13"/>
        <v>7</v>
      </c>
      <c r="R61" s="7">
        <f t="shared" si="14"/>
        <v>5</v>
      </c>
      <c r="S61" s="10" t="str" cm="1">
        <f t="array" ref="S61">INDEX('Subj-ConceptMap-1'!$I$15:$N$270,Q61+1,R61)</f>
        <v>* group[=].element[=].target.equivalence = #equivalent</v>
      </c>
    </row>
    <row r="62" spans="5:19" x14ac:dyDescent="0.75">
      <c r="P62" s="7">
        <v>48</v>
      </c>
      <c r="Q62" s="7">
        <f t="shared" si="13"/>
        <v>7</v>
      </c>
      <c r="R62" s="7">
        <f t="shared" si="14"/>
        <v>6</v>
      </c>
      <c r="S62" s="10" t="str" cm="1">
        <f t="array" ref="S62">INDEX('Subj-ConceptMap-1'!$I$15:$N$270,Q62+1,R62)</f>
        <v/>
      </c>
    </row>
    <row r="63" spans="5:19" x14ac:dyDescent="0.75">
      <c r="P63" s="7">
        <v>49</v>
      </c>
      <c r="Q63" s="7">
        <f t="shared" si="13"/>
        <v>8</v>
      </c>
      <c r="R63" s="7">
        <f t="shared" si="14"/>
        <v>1</v>
      </c>
      <c r="S63" s="10" t="e" cm="1">
        <f t="array" ref="S63">INDEX('Subj-ConceptMap-1'!$I$15:$N$270,Q63+1,R63)</f>
        <v>#REF!</v>
      </c>
    </row>
    <row r="64" spans="5:19" x14ac:dyDescent="0.75">
      <c r="P64" s="7">
        <v>50</v>
      </c>
      <c r="Q64" s="7">
        <f t="shared" si="13"/>
        <v>8</v>
      </c>
      <c r="R64" s="7">
        <f t="shared" si="14"/>
        <v>2</v>
      </c>
      <c r="S64" s="10" t="e" cm="1">
        <f t="array" ref="S64">INDEX('Subj-ConceptMap-1'!$I$15:$N$270,Q64+1,R64)</f>
        <v>#REF!</v>
      </c>
    </row>
    <row r="65" spans="16:19" x14ac:dyDescent="0.75">
      <c r="P65" s="7">
        <v>51</v>
      </c>
      <c r="Q65" s="7">
        <f t="shared" si="13"/>
        <v>8</v>
      </c>
      <c r="R65" s="7">
        <f t="shared" si="14"/>
        <v>3</v>
      </c>
      <c r="S65" s="10" t="str" cm="1">
        <f t="array" ref="S65">INDEX('Subj-ConceptMap-1'!$I$15:$N$270,Q65+1,R65)</f>
        <v>* group[=].element[=].target.code = #Patient.telecom</v>
      </c>
    </row>
    <row r="66" spans="16:19" x14ac:dyDescent="0.75">
      <c r="P66" s="7">
        <v>52</v>
      </c>
      <c r="Q66" s="7">
        <f t="shared" si="13"/>
        <v>8</v>
      </c>
      <c r="R66" s="7">
        <f t="shared" si="14"/>
        <v>4</v>
      </c>
      <c r="S66" s="10" t="str" cm="1">
        <f t="array" ref="S66">INDEX('Subj-ConceptMap-1'!$I$15:$N$270,Q66+1,R66)</f>
        <v>* group[=].element[=].target.display = ##34###34#</v>
      </c>
    </row>
    <row r="67" spans="16:19" x14ac:dyDescent="0.75">
      <c r="P67" s="7">
        <v>53</v>
      </c>
      <c r="Q67" s="7">
        <f t="shared" ref="Q67:Q76" si="15">IF(MOD(P67,$Q$8)=0,P67/$Q$8-1,INT(P67/$Q$8))</f>
        <v>8</v>
      </c>
      <c r="R67" s="7">
        <f t="shared" ref="R67:R76" si="16">IF(MOD(P67,$Q$8)=0,$Q$8,MOD(P67,$Q$8))</f>
        <v>5</v>
      </c>
      <c r="S67" s="10" t="str" cm="1">
        <f t="array" ref="S67">INDEX('Subj-ConceptMap-1'!$I$15:$N$270,Q67+1,R67)</f>
        <v>* group[=].element[=].target.equivalence = #equivalent</v>
      </c>
    </row>
    <row r="68" spans="16:19" x14ac:dyDescent="0.75">
      <c r="P68" s="7">
        <v>54</v>
      </c>
      <c r="Q68" s="7">
        <f t="shared" si="15"/>
        <v>8</v>
      </c>
      <c r="R68" s="7">
        <f t="shared" si="16"/>
        <v>6</v>
      </c>
      <c r="S68" s="10" t="str" cm="1">
        <f t="array" ref="S68">INDEX('Subj-ConceptMap-1'!$I$15:$N$270,Q68+1,R68)</f>
        <v/>
      </c>
    </row>
    <row r="69" spans="16:19" x14ac:dyDescent="0.75">
      <c r="P69" s="7">
        <v>55</v>
      </c>
      <c r="Q69" s="7">
        <f t="shared" si="15"/>
        <v>9</v>
      </c>
      <c r="R69" s="7">
        <f t="shared" si="16"/>
        <v>1</v>
      </c>
      <c r="S69" s="10" cm="1">
        <f t="array" ref="S69">INDEX('Subj-ConceptMap-1'!$I$15:$N$270,Q69+1,R69)</f>
        <v>0</v>
      </c>
    </row>
    <row r="70" spans="16:19" x14ac:dyDescent="0.75">
      <c r="P70" s="7">
        <v>56</v>
      </c>
      <c r="Q70" s="7">
        <f t="shared" si="15"/>
        <v>9</v>
      </c>
      <c r="R70" s="7">
        <f t="shared" si="16"/>
        <v>2</v>
      </c>
      <c r="S70" s="10" cm="1">
        <f t="array" ref="S70">INDEX('Subj-ConceptMap-1'!$I$15:$N$270,Q70+1,R70)</f>
        <v>0</v>
      </c>
    </row>
    <row r="71" spans="16:19" x14ac:dyDescent="0.75">
      <c r="P71" s="7">
        <v>57</v>
      </c>
      <c r="Q71" s="7">
        <f t="shared" si="15"/>
        <v>9</v>
      </c>
      <c r="R71" s="7">
        <f t="shared" si="16"/>
        <v>3</v>
      </c>
      <c r="S71" s="10" cm="1">
        <f t="array" ref="S71">INDEX('Subj-ConceptMap-1'!$I$15:$N$270,Q71+1,R71)</f>
        <v>0</v>
      </c>
    </row>
    <row r="72" spans="16:19" x14ac:dyDescent="0.75">
      <c r="P72" s="7">
        <v>58</v>
      </c>
      <c r="Q72" s="7">
        <f t="shared" si="15"/>
        <v>9</v>
      </c>
      <c r="R72" s="7">
        <f t="shared" si="16"/>
        <v>4</v>
      </c>
      <c r="S72" s="10" cm="1">
        <f t="array" ref="S72">INDEX('Subj-ConceptMap-1'!$I$15:$N$270,Q72+1,R72)</f>
        <v>0</v>
      </c>
    </row>
    <row r="73" spans="16:19" x14ac:dyDescent="0.75">
      <c r="P73" s="7">
        <v>59</v>
      </c>
      <c r="Q73" s="7">
        <f t="shared" si="15"/>
        <v>9</v>
      </c>
      <c r="R73" s="7">
        <f t="shared" si="16"/>
        <v>5</v>
      </c>
      <c r="S73" s="10" cm="1">
        <f t="array" ref="S73">INDEX('Subj-ConceptMap-1'!$I$15:$N$270,Q73+1,R73)</f>
        <v>0</v>
      </c>
    </row>
    <row r="74" spans="16:19" x14ac:dyDescent="0.75">
      <c r="P74" s="7">
        <v>60</v>
      </c>
      <c r="Q74" s="7">
        <f t="shared" si="15"/>
        <v>9</v>
      </c>
      <c r="R74" s="7">
        <f t="shared" si="16"/>
        <v>6</v>
      </c>
      <c r="S74" s="10" cm="1">
        <f t="array" ref="S74">INDEX('Subj-ConceptMap-1'!$I$15:$N$270,Q74+1,R74)</f>
        <v>0</v>
      </c>
    </row>
    <row r="75" spans="16:19" x14ac:dyDescent="0.75">
      <c r="P75" s="7">
        <v>61</v>
      </c>
      <c r="Q75" s="7">
        <f t="shared" si="15"/>
        <v>10</v>
      </c>
      <c r="R75" s="7">
        <f t="shared" si="16"/>
        <v>1</v>
      </c>
      <c r="S75" s="10" cm="1">
        <f t="array" ref="S75">INDEX('Subj-ConceptMap-1'!$I$15:$N$270,Q75+1,R75)</f>
        <v>0</v>
      </c>
    </row>
    <row r="76" spans="16:19" x14ac:dyDescent="0.75">
      <c r="P76" s="7">
        <v>62</v>
      </c>
      <c r="Q76" s="7">
        <f t="shared" si="15"/>
        <v>10</v>
      </c>
      <c r="R76" s="7">
        <f t="shared" si="16"/>
        <v>2</v>
      </c>
      <c r="S76" s="10" cm="1">
        <f t="array" ref="S76">INDEX('Subj-ConceptMap-1'!$I$15:$N$270,Q76+1,R76)</f>
        <v>0</v>
      </c>
    </row>
    <row r="77" spans="16:19" x14ac:dyDescent="0.75">
      <c r="P77" s="7">
        <v>63</v>
      </c>
      <c r="Q77" s="7">
        <f t="shared" ref="Q77:Q80" si="17">IF(MOD(P77,$Q$8)=0,P77/$Q$8-1,INT(P77/$Q$8))</f>
        <v>10</v>
      </c>
      <c r="R77" s="7">
        <f t="shared" ref="R77:R80" si="18">IF(MOD(P77,$Q$8)=0,$Q$8,MOD(P77,$Q$8))</f>
        <v>3</v>
      </c>
      <c r="S77" s="10" cm="1">
        <f t="array" ref="S77">INDEX('Subj-ConceptMap-1'!$I$15:$N$270,Q77+1,R77)</f>
        <v>0</v>
      </c>
    </row>
    <row r="78" spans="16:19" x14ac:dyDescent="0.75">
      <c r="P78" s="7">
        <v>64</v>
      </c>
      <c r="Q78" s="7">
        <f t="shared" si="17"/>
        <v>10</v>
      </c>
      <c r="R78" s="7">
        <f t="shared" si="18"/>
        <v>4</v>
      </c>
      <c r="S78" s="10" cm="1">
        <f t="array" ref="S78">INDEX('Subj-ConceptMap-1'!$I$15:$N$270,Q78+1,R78)</f>
        <v>0</v>
      </c>
    </row>
    <row r="79" spans="16:19" x14ac:dyDescent="0.75">
      <c r="P79" s="7">
        <v>65</v>
      </c>
      <c r="Q79" s="7">
        <f t="shared" si="17"/>
        <v>10</v>
      </c>
      <c r="R79" s="7">
        <f t="shared" si="18"/>
        <v>5</v>
      </c>
      <c r="S79" s="10" cm="1">
        <f t="array" ref="S79">INDEX('Subj-ConceptMap-1'!$I$15:$N$270,Q79+1,R79)</f>
        <v>0</v>
      </c>
    </row>
    <row r="80" spans="16:19" x14ac:dyDescent="0.75">
      <c r="P80" s="7">
        <v>66</v>
      </c>
      <c r="Q80" s="7">
        <f t="shared" si="17"/>
        <v>10</v>
      </c>
      <c r="R80" s="7">
        <f t="shared" si="18"/>
        <v>6</v>
      </c>
      <c r="S80" s="10" cm="1">
        <f t="array" ref="S80">INDEX('Subj-ConceptMap-1'!$I$15:$N$270,Q80+1,R80)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44" si="19">IF(MOD(P121,$Q$8)=0,P121/$Q$8-1,INT(P121/$Q$8))</f>
        <v>17</v>
      </c>
      <c r="R121" s="7">
        <f t="shared" ref="R121:R144" si="20">IF(MOD(P121,$Q$8)=0,$Q$8,MOD(P121,$Q$8))</f>
        <v>5</v>
      </c>
      <c r="S121" s="10" cm="1">
        <f t="array" ref="S121">INDEX('Subj-ConceptMap-1'!$I$15:$N$270,Q121+1,R121)</f>
        <v>0</v>
      </c>
    </row>
    <row r="122" spans="16:19" x14ac:dyDescent="0.75">
      <c r="P122" s="7">
        <v>108</v>
      </c>
      <c r="Q122" s="7">
        <f t="shared" si="19"/>
        <v>17</v>
      </c>
      <c r="R122" s="7">
        <f t="shared" si="20"/>
        <v>6</v>
      </c>
      <c r="S122" s="10" cm="1">
        <f t="array" ref="S122">INDEX('Subj-ConceptMap-1'!$I$15:$N$270,Q122+1,R122)</f>
        <v>0</v>
      </c>
    </row>
    <row r="123" spans="16:19" x14ac:dyDescent="0.75">
      <c r="P123" s="7">
        <v>109</v>
      </c>
      <c r="Q123" s="7">
        <f t="shared" si="19"/>
        <v>18</v>
      </c>
      <c r="R123" s="7">
        <f t="shared" si="20"/>
        <v>1</v>
      </c>
      <c r="S123" s="10" cm="1">
        <f t="array" ref="S123">INDEX('Subj-ConceptMap-1'!$I$15:$N$270,Q123+1,R123)</f>
        <v>0</v>
      </c>
    </row>
    <row r="124" spans="16:19" x14ac:dyDescent="0.75">
      <c r="P124" s="7">
        <v>110</v>
      </c>
      <c r="Q124" s="7">
        <f t="shared" si="19"/>
        <v>18</v>
      </c>
      <c r="R124" s="7">
        <f t="shared" si="20"/>
        <v>2</v>
      </c>
      <c r="S124" s="10" cm="1">
        <f t="array" ref="S124">INDEX('Subj-ConceptMap-1'!$I$15:$N$270,Q124+1,R124)</f>
        <v>0</v>
      </c>
    </row>
    <row r="125" spans="16:19" x14ac:dyDescent="0.75">
      <c r="P125" s="7">
        <v>111</v>
      </c>
      <c r="Q125" s="7">
        <f t="shared" si="19"/>
        <v>18</v>
      </c>
      <c r="R125" s="7">
        <f t="shared" si="20"/>
        <v>3</v>
      </c>
      <c r="S125" s="10" cm="1">
        <f t="array" ref="S125">INDEX('Subj-ConceptMap-1'!$I$15:$N$270,Q125+1,R125)</f>
        <v>0</v>
      </c>
    </row>
    <row r="126" spans="16:19" x14ac:dyDescent="0.75">
      <c r="P126" s="7">
        <v>112</v>
      </c>
      <c r="Q126" s="7">
        <f t="shared" si="19"/>
        <v>18</v>
      </c>
      <c r="R126" s="7">
        <f t="shared" si="20"/>
        <v>4</v>
      </c>
      <c r="S126" s="10" cm="1">
        <f t="array" ref="S126">INDEX('Subj-ConceptMap-1'!$I$15:$N$270,Q126+1,R126)</f>
        <v>0</v>
      </c>
    </row>
    <row r="127" spans="16:19" x14ac:dyDescent="0.75">
      <c r="P127" s="7">
        <v>113</v>
      </c>
      <c r="Q127" s="7">
        <f t="shared" si="19"/>
        <v>18</v>
      </c>
      <c r="R127" s="7">
        <f t="shared" si="20"/>
        <v>5</v>
      </c>
      <c r="S127" s="10" cm="1">
        <f t="array" ref="S127">INDEX('Subj-ConceptMap-1'!$I$15:$N$270,Q127+1,R127)</f>
        <v>0</v>
      </c>
    </row>
    <row r="128" spans="16:19" x14ac:dyDescent="0.75">
      <c r="P128" s="7">
        <v>114</v>
      </c>
      <c r="Q128" s="7">
        <f t="shared" si="19"/>
        <v>18</v>
      </c>
      <c r="R128" s="7">
        <f t="shared" si="20"/>
        <v>6</v>
      </c>
      <c r="S128" s="10" cm="1">
        <f t="array" ref="S128">INDEX('Subj-ConceptMap-1'!$I$15:$N$270,Q128+1,R128)</f>
        <v>0</v>
      </c>
    </row>
    <row r="129" spans="16:19" x14ac:dyDescent="0.75">
      <c r="P129" s="7">
        <v>115</v>
      </c>
      <c r="Q129" s="7">
        <f t="shared" si="19"/>
        <v>19</v>
      </c>
      <c r="R129" s="7">
        <f t="shared" si="20"/>
        <v>1</v>
      </c>
      <c r="S129" s="10" cm="1">
        <f t="array" ref="S129">INDEX('Subj-ConceptMap-1'!$I$15:$N$270,Q129+1,R129)</f>
        <v>0</v>
      </c>
    </row>
    <row r="130" spans="16:19" x14ac:dyDescent="0.75">
      <c r="P130" s="7">
        <v>116</v>
      </c>
      <c r="Q130" s="7">
        <f t="shared" si="19"/>
        <v>19</v>
      </c>
      <c r="R130" s="7">
        <f t="shared" si="20"/>
        <v>2</v>
      </c>
      <c r="S130" s="10" cm="1">
        <f t="array" ref="S130">INDEX('Subj-ConceptMap-1'!$I$15:$N$270,Q130+1,R130)</f>
        <v>0</v>
      </c>
    </row>
    <row r="131" spans="16:19" x14ac:dyDescent="0.75">
      <c r="P131" s="7">
        <v>117</v>
      </c>
      <c r="Q131" s="7">
        <f t="shared" si="19"/>
        <v>19</v>
      </c>
      <c r="R131" s="7">
        <f t="shared" si="20"/>
        <v>3</v>
      </c>
      <c r="S131" s="10" cm="1">
        <f t="array" ref="S131">INDEX('Subj-ConceptMap-1'!$I$15:$N$270,Q131+1,R131)</f>
        <v>0</v>
      </c>
    </row>
    <row r="132" spans="16:19" x14ac:dyDescent="0.75">
      <c r="P132" s="7">
        <v>118</v>
      </c>
      <c r="Q132" s="7">
        <f t="shared" si="19"/>
        <v>19</v>
      </c>
      <c r="R132" s="7">
        <f t="shared" si="20"/>
        <v>4</v>
      </c>
      <c r="S132" s="10" cm="1">
        <f t="array" ref="S132">INDEX('Subj-ConceptMap-1'!$I$15:$N$270,Q132+1,R132)</f>
        <v>0</v>
      </c>
    </row>
    <row r="133" spans="16:19" x14ac:dyDescent="0.75">
      <c r="P133" s="7">
        <v>119</v>
      </c>
      <c r="Q133" s="7">
        <f t="shared" si="19"/>
        <v>19</v>
      </c>
      <c r="R133" s="7">
        <f t="shared" si="20"/>
        <v>5</v>
      </c>
      <c r="S133" s="10" cm="1">
        <f t="array" ref="S133">INDEX('Subj-ConceptMap-1'!$I$15:$N$270,Q133+1,R133)</f>
        <v>0</v>
      </c>
    </row>
    <row r="134" spans="16:19" x14ac:dyDescent="0.75">
      <c r="P134" s="7">
        <v>120</v>
      </c>
      <c r="Q134" s="7">
        <f t="shared" si="19"/>
        <v>19</v>
      </c>
      <c r="R134" s="7">
        <f t="shared" si="20"/>
        <v>6</v>
      </c>
      <c r="S134" s="10" cm="1">
        <f t="array" ref="S134">INDEX('Subj-ConceptMap-1'!$I$15:$N$270,Q134+1,R134)</f>
        <v>0</v>
      </c>
    </row>
    <row r="135" spans="16:19" x14ac:dyDescent="0.75">
      <c r="P135" s="7">
        <v>121</v>
      </c>
      <c r="Q135" s="7">
        <f t="shared" si="19"/>
        <v>20</v>
      </c>
      <c r="R135" s="7">
        <f t="shared" si="20"/>
        <v>1</v>
      </c>
      <c r="S135" s="10" cm="1">
        <f t="array" ref="S135">INDEX('Subj-ConceptMap-1'!$I$15:$N$270,Q135+1,R135)</f>
        <v>0</v>
      </c>
    </row>
    <row r="136" spans="16:19" x14ac:dyDescent="0.75">
      <c r="P136" s="7">
        <v>122</v>
      </c>
      <c r="Q136" s="7">
        <f t="shared" si="19"/>
        <v>20</v>
      </c>
      <c r="R136" s="7">
        <f t="shared" si="20"/>
        <v>2</v>
      </c>
      <c r="S136" s="10" cm="1">
        <f t="array" ref="S136">INDEX('Subj-ConceptMap-1'!$I$15:$N$270,Q136+1,R136)</f>
        <v>0</v>
      </c>
    </row>
    <row r="137" spans="16:19" x14ac:dyDescent="0.75">
      <c r="P137" s="7">
        <v>123</v>
      </c>
      <c r="Q137" s="7">
        <f t="shared" si="19"/>
        <v>20</v>
      </c>
      <c r="R137" s="7">
        <f t="shared" si="20"/>
        <v>3</v>
      </c>
      <c r="S137" s="10" cm="1">
        <f t="array" ref="S137">INDEX('Subj-ConceptMap-1'!$I$15:$N$270,Q137+1,R137)</f>
        <v>0</v>
      </c>
    </row>
    <row r="138" spans="16:19" x14ac:dyDescent="0.75">
      <c r="P138" s="7">
        <v>124</v>
      </c>
      <c r="Q138" s="7">
        <f t="shared" si="19"/>
        <v>20</v>
      </c>
      <c r="R138" s="7">
        <f t="shared" si="20"/>
        <v>4</v>
      </c>
      <c r="S138" s="10" cm="1">
        <f t="array" ref="S138">INDEX('Subj-ConceptMap-1'!$I$15:$N$270,Q138+1,R138)</f>
        <v>0</v>
      </c>
    </row>
    <row r="139" spans="16:19" x14ac:dyDescent="0.75">
      <c r="P139" s="7">
        <v>125</v>
      </c>
      <c r="Q139" s="7">
        <f t="shared" si="19"/>
        <v>20</v>
      </c>
      <c r="R139" s="7">
        <f t="shared" si="20"/>
        <v>5</v>
      </c>
      <c r="S139" s="10" cm="1">
        <f t="array" ref="S139">INDEX('Subj-ConceptMap-1'!$I$15:$N$270,Q139+1,R139)</f>
        <v>0</v>
      </c>
    </row>
    <row r="140" spans="16:19" x14ac:dyDescent="0.75">
      <c r="P140" s="7">
        <v>126</v>
      </c>
      <c r="Q140" s="7">
        <f t="shared" si="19"/>
        <v>20</v>
      </c>
      <c r="R140" s="7">
        <f t="shared" si="20"/>
        <v>6</v>
      </c>
      <c r="S140" s="10" cm="1">
        <f t="array" ref="S140">INDEX('Subj-ConceptMap-1'!$I$15:$N$270,Q140+1,R140)</f>
        <v>0</v>
      </c>
    </row>
    <row r="141" spans="16:19" x14ac:dyDescent="0.75">
      <c r="P141" s="7">
        <v>127</v>
      </c>
      <c r="Q141" s="7">
        <f t="shared" si="19"/>
        <v>21</v>
      </c>
      <c r="R141" s="7">
        <f t="shared" si="20"/>
        <v>1</v>
      </c>
      <c r="S141" s="10" cm="1">
        <f t="array" ref="S141">INDEX('Subj-ConceptMap-1'!$I$15:$N$270,Q141+1,R141)</f>
        <v>0</v>
      </c>
    </row>
    <row r="142" spans="16:19" x14ac:dyDescent="0.75">
      <c r="P142" s="7">
        <v>128</v>
      </c>
      <c r="Q142" s="7">
        <f t="shared" si="19"/>
        <v>21</v>
      </c>
      <c r="R142" s="7">
        <f t="shared" si="20"/>
        <v>2</v>
      </c>
      <c r="S142" s="10" cm="1">
        <f t="array" ref="S142">INDEX('Subj-ConceptMap-1'!$I$15:$N$270,Q142+1,R142)</f>
        <v>0</v>
      </c>
    </row>
    <row r="143" spans="16:19" x14ac:dyDescent="0.75">
      <c r="P143" s="7">
        <v>129</v>
      </c>
      <c r="Q143" s="7">
        <f t="shared" si="19"/>
        <v>21</v>
      </c>
      <c r="R143" s="7">
        <f t="shared" si="20"/>
        <v>3</v>
      </c>
      <c r="S143" s="10" cm="1">
        <f t="array" ref="S143">INDEX('Subj-ConceptMap-1'!$I$15:$N$270,Q143+1,R143)</f>
        <v>0</v>
      </c>
    </row>
    <row r="144" spans="16:19" x14ac:dyDescent="0.75">
      <c r="P144" s="7">
        <v>130</v>
      </c>
      <c r="Q144" s="7">
        <f t="shared" si="19"/>
        <v>21</v>
      </c>
      <c r="R144" s="7">
        <f t="shared" si="20"/>
        <v>4</v>
      </c>
      <c r="S144" s="10" cm="1">
        <f t="array" ref="S144">INDEX('Subj-ConceptMap-1'!$I$15:$N$270,Q144+1,R144)</f>
        <v>0</v>
      </c>
    </row>
    <row r="145" spans="16:19" x14ac:dyDescent="0.75">
      <c r="P145" s="7">
        <v>131</v>
      </c>
      <c r="Q145" s="7">
        <f t="shared" ref="Q145:Q190" si="21">IF(MOD(P145,$Q$8)=0,P145/$Q$8-1,INT(P145/$Q$8))</f>
        <v>21</v>
      </c>
      <c r="R145" s="7">
        <f t="shared" ref="R145:R190" si="22">IF(MOD(P145,$Q$8)=0,$Q$8,MOD(P145,$Q$8))</f>
        <v>5</v>
      </c>
      <c r="S145" s="10" cm="1">
        <f t="array" ref="S145">INDEX('Subj-ConceptMap-1'!$I$15:$N$270,Q145+1,R145)</f>
        <v>0</v>
      </c>
    </row>
    <row r="146" spans="16:19" x14ac:dyDescent="0.75">
      <c r="P146" s="7">
        <v>132</v>
      </c>
      <c r="Q146" s="7">
        <f t="shared" si="21"/>
        <v>21</v>
      </c>
      <c r="R146" s="7">
        <f t="shared" si="22"/>
        <v>6</v>
      </c>
      <c r="S146" s="10" cm="1">
        <f t="array" ref="S146">INDEX('Subj-ConceptMap-1'!$I$15:$N$270,Q146+1,R146)</f>
        <v>0</v>
      </c>
    </row>
    <row r="147" spans="16:19" x14ac:dyDescent="0.75">
      <c r="P147" s="7">
        <v>133</v>
      </c>
      <c r="Q147" s="7">
        <f t="shared" si="21"/>
        <v>22</v>
      </c>
      <c r="R147" s="7">
        <f t="shared" si="22"/>
        <v>1</v>
      </c>
      <c r="S147" s="10" cm="1">
        <f t="array" ref="S147">INDEX('Subj-ConceptMap-1'!$I$15:$N$270,Q147+1,R147)</f>
        <v>0</v>
      </c>
    </row>
    <row r="148" spans="16:19" x14ac:dyDescent="0.75">
      <c r="P148" s="7">
        <v>134</v>
      </c>
      <c r="Q148" s="7">
        <f t="shared" si="21"/>
        <v>22</v>
      </c>
      <c r="R148" s="7">
        <f t="shared" si="22"/>
        <v>2</v>
      </c>
      <c r="S148" s="10" cm="1">
        <f t="array" ref="S148">INDEX('Subj-ConceptMap-1'!$I$15:$N$270,Q148+1,R148)</f>
        <v>0</v>
      </c>
    </row>
    <row r="149" spans="16:19" x14ac:dyDescent="0.75">
      <c r="P149" s="7">
        <v>135</v>
      </c>
      <c r="Q149" s="7">
        <f t="shared" si="21"/>
        <v>22</v>
      </c>
      <c r="R149" s="7">
        <f t="shared" si="22"/>
        <v>3</v>
      </c>
      <c r="S149" s="10" cm="1">
        <f t="array" ref="S149">INDEX('Subj-ConceptMap-1'!$I$15:$N$270,Q149+1,R149)</f>
        <v>0</v>
      </c>
    </row>
    <row r="150" spans="16:19" x14ac:dyDescent="0.75">
      <c r="P150" s="7">
        <v>136</v>
      </c>
      <c r="Q150" s="7">
        <f t="shared" si="21"/>
        <v>22</v>
      </c>
      <c r="R150" s="7">
        <f t="shared" si="22"/>
        <v>4</v>
      </c>
      <c r="S150" s="10" cm="1">
        <f t="array" ref="S150">INDEX('Subj-ConceptMap-1'!$I$15:$N$270,Q150+1,R150)</f>
        <v>0</v>
      </c>
    </row>
    <row r="151" spans="16:19" x14ac:dyDescent="0.75">
      <c r="P151" s="7">
        <v>137</v>
      </c>
      <c r="Q151" s="7">
        <f t="shared" si="21"/>
        <v>22</v>
      </c>
      <c r="R151" s="7">
        <f t="shared" si="22"/>
        <v>5</v>
      </c>
      <c r="S151" s="10" cm="1">
        <f t="array" ref="S151">INDEX('Subj-ConceptMap-1'!$I$15:$N$270,Q151+1,R151)</f>
        <v>0</v>
      </c>
    </row>
    <row r="152" spans="16:19" x14ac:dyDescent="0.75">
      <c r="P152" s="7">
        <v>138</v>
      </c>
      <c r="Q152" s="7">
        <f t="shared" si="21"/>
        <v>22</v>
      </c>
      <c r="R152" s="7">
        <f t="shared" si="22"/>
        <v>6</v>
      </c>
      <c r="S152" s="10" cm="1">
        <f t="array" ref="S152">INDEX('Subj-ConceptMap-1'!$I$15:$N$270,Q152+1,R152)</f>
        <v>0</v>
      </c>
    </row>
    <row r="153" spans="16:19" x14ac:dyDescent="0.75">
      <c r="P153" s="7">
        <v>139</v>
      </c>
      <c r="Q153" s="7">
        <f t="shared" si="21"/>
        <v>23</v>
      </c>
      <c r="R153" s="7">
        <f t="shared" si="22"/>
        <v>1</v>
      </c>
      <c r="S153" s="10" cm="1">
        <f t="array" ref="S153">INDEX('Subj-ConceptMap-1'!$I$15:$N$270,Q153+1,R153)</f>
        <v>0</v>
      </c>
    </row>
    <row r="154" spans="16:19" x14ac:dyDescent="0.75">
      <c r="P154" s="7">
        <v>140</v>
      </c>
      <c r="Q154" s="7">
        <f t="shared" si="21"/>
        <v>23</v>
      </c>
      <c r="R154" s="7">
        <f t="shared" si="22"/>
        <v>2</v>
      </c>
      <c r="S154" s="10" cm="1">
        <f t="array" ref="S154">INDEX('Subj-ConceptMap-1'!$I$15:$N$270,Q154+1,R154)</f>
        <v>0</v>
      </c>
    </row>
    <row r="155" spans="16:19" x14ac:dyDescent="0.75">
      <c r="P155" s="7">
        <v>141</v>
      </c>
      <c r="Q155" s="7">
        <f t="shared" si="21"/>
        <v>23</v>
      </c>
      <c r="R155" s="7">
        <f t="shared" si="22"/>
        <v>3</v>
      </c>
      <c r="S155" s="10" cm="1">
        <f t="array" ref="S155">INDEX('Subj-ConceptMap-1'!$I$15:$N$270,Q155+1,R155)</f>
        <v>0</v>
      </c>
    </row>
    <row r="156" spans="16:19" x14ac:dyDescent="0.75">
      <c r="P156" s="7">
        <v>142</v>
      </c>
      <c r="Q156" s="7">
        <f t="shared" si="21"/>
        <v>23</v>
      </c>
      <c r="R156" s="7">
        <f t="shared" si="22"/>
        <v>4</v>
      </c>
      <c r="S156" s="10" cm="1">
        <f t="array" ref="S156">INDEX('Subj-ConceptMap-1'!$I$15:$N$270,Q156+1,R156)</f>
        <v>0</v>
      </c>
    </row>
    <row r="157" spans="16:19" x14ac:dyDescent="0.75">
      <c r="P157" s="7">
        <v>143</v>
      </c>
      <c r="Q157" s="7">
        <f t="shared" si="21"/>
        <v>23</v>
      </c>
      <c r="R157" s="7">
        <f t="shared" si="22"/>
        <v>5</v>
      </c>
      <c r="S157" s="10" cm="1">
        <f t="array" ref="S157">INDEX('Subj-ConceptMap-1'!$I$15:$N$270,Q157+1,R157)</f>
        <v>0</v>
      </c>
    </row>
    <row r="158" spans="16:19" x14ac:dyDescent="0.75">
      <c r="P158" s="7">
        <v>144</v>
      </c>
      <c r="Q158" s="7">
        <f t="shared" si="21"/>
        <v>23</v>
      </c>
      <c r="R158" s="7">
        <f t="shared" si="22"/>
        <v>6</v>
      </c>
      <c r="S158" s="10" cm="1">
        <f t="array" ref="S158">INDEX('Subj-ConceptMap-1'!$I$15:$N$270,Q158+1,R158)</f>
        <v>0</v>
      </c>
    </row>
    <row r="159" spans="16:19" x14ac:dyDescent="0.75">
      <c r="P159" s="7">
        <v>145</v>
      </c>
      <c r="Q159" s="7">
        <f t="shared" si="21"/>
        <v>24</v>
      </c>
      <c r="R159" s="7">
        <f t="shared" si="22"/>
        <v>1</v>
      </c>
      <c r="S159" s="10" cm="1">
        <f t="array" ref="S159">INDEX('Subj-ConceptMap-1'!$I$15:$N$270,Q159+1,R159)</f>
        <v>0</v>
      </c>
    </row>
    <row r="160" spans="16:19" x14ac:dyDescent="0.75">
      <c r="P160" s="7">
        <v>146</v>
      </c>
      <c r="Q160" s="7">
        <f t="shared" si="21"/>
        <v>24</v>
      </c>
      <c r="R160" s="7">
        <f t="shared" si="22"/>
        <v>2</v>
      </c>
      <c r="S160" s="10" cm="1">
        <f t="array" ref="S160">INDEX('Subj-ConceptMap-1'!$I$15:$N$270,Q160+1,R160)</f>
        <v>0</v>
      </c>
    </row>
    <row r="161" spans="16:19" x14ac:dyDescent="0.75">
      <c r="P161" s="7">
        <v>147</v>
      </c>
      <c r="Q161" s="7">
        <f t="shared" si="21"/>
        <v>24</v>
      </c>
      <c r="R161" s="7">
        <f t="shared" si="22"/>
        <v>3</v>
      </c>
      <c r="S161" s="10" cm="1">
        <f t="array" ref="S161">INDEX('Subj-ConceptMap-1'!$I$15:$N$270,Q161+1,R161)</f>
        <v>0</v>
      </c>
    </row>
    <row r="162" spans="16:19" x14ac:dyDescent="0.75">
      <c r="P162" s="7">
        <v>148</v>
      </c>
      <c r="Q162" s="7">
        <f t="shared" si="21"/>
        <v>24</v>
      </c>
      <c r="R162" s="7">
        <f t="shared" si="22"/>
        <v>4</v>
      </c>
      <c r="S162" s="10" cm="1">
        <f t="array" ref="S162">INDEX('Subj-ConceptMap-1'!$I$15:$N$270,Q162+1,R162)</f>
        <v>0</v>
      </c>
    </row>
    <row r="163" spans="16:19" x14ac:dyDescent="0.75">
      <c r="P163" s="7">
        <v>149</v>
      </c>
      <c r="Q163" s="7">
        <f t="shared" si="21"/>
        <v>24</v>
      </c>
      <c r="R163" s="7">
        <f t="shared" si="22"/>
        <v>5</v>
      </c>
      <c r="S163" s="10" cm="1">
        <f t="array" ref="S163">INDEX('Subj-ConceptMap-1'!$I$15:$N$270,Q163+1,R163)</f>
        <v>0</v>
      </c>
    </row>
    <row r="164" spans="16:19" x14ac:dyDescent="0.75">
      <c r="P164" s="7">
        <v>150</v>
      </c>
      <c r="Q164" s="7">
        <f t="shared" si="21"/>
        <v>24</v>
      </c>
      <c r="R164" s="7">
        <f t="shared" si="22"/>
        <v>6</v>
      </c>
      <c r="S164" s="10" cm="1">
        <f t="array" ref="S164">INDEX('Subj-ConceptMap-1'!$I$15:$N$270,Q164+1,R164)</f>
        <v>0</v>
      </c>
    </row>
    <row r="165" spans="16:19" x14ac:dyDescent="0.75">
      <c r="P165" s="7">
        <v>151</v>
      </c>
      <c r="Q165" s="7">
        <f t="shared" si="21"/>
        <v>25</v>
      </c>
      <c r="R165" s="7">
        <f t="shared" si="22"/>
        <v>1</v>
      </c>
      <c r="S165" s="10" cm="1">
        <f t="array" ref="S165">INDEX('Subj-ConceptMap-1'!$I$15:$N$270,Q165+1,R165)</f>
        <v>0</v>
      </c>
    </row>
    <row r="166" spans="16:19" x14ac:dyDescent="0.75">
      <c r="P166" s="7">
        <v>152</v>
      </c>
      <c r="Q166" s="7">
        <f t="shared" si="21"/>
        <v>25</v>
      </c>
      <c r="R166" s="7">
        <f t="shared" si="22"/>
        <v>2</v>
      </c>
      <c r="S166" s="10" cm="1">
        <f t="array" ref="S166">INDEX('Subj-ConceptMap-1'!$I$15:$N$270,Q166+1,R166)</f>
        <v>0</v>
      </c>
    </row>
    <row r="167" spans="16:19" x14ac:dyDescent="0.75">
      <c r="P167" s="7">
        <v>153</v>
      </c>
      <c r="Q167" s="7">
        <f t="shared" si="21"/>
        <v>25</v>
      </c>
      <c r="R167" s="7">
        <f t="shared" si="22"/>
        <v>3</v>
      </c>
      <c r="S167" s="10" cm="1">
        <f t="array" ref="S167">INDEX('Subj-ConceptMap-1'!$I$15:$N$270,Q167+1,R167)</f>
        <v>0</v>
      </c>
    </row>
    <row r="168" spans="16:19" x14ac:dyDescent="0.75">
      <c r="P168" s="7">
        <v>154</v>
      </c>
      <c r="Q168" s="7">
        <f t="shared" si="21"/>
        <v>25</v>
      </c>
      <c r="R168" s="7">
        <f t="shared" si="22"/>
        <v>4</v>
      </c>
      <c r="S168" s="10" cm="1">
        <f t="array" ref="S168">INDEX('Subj-ConceptMap-1'!$I$15:$N$270,Q168+1,R168)</f>
        <v>0</v>
      </c>
    </row>
    <row r="169" spans="16:19" x14ac:dyDescent="0.75">
      <c r="P169" s="7">
        <v>155</v>
      </c>
      <c r="Q169" s="7">
        <f t="shared" si="21"/>
        <v>25</v>
      </c>
      <c r="R169" s="7">
        <f t="shared" si="22"/>
        <v>5</v>
      </c>
      <c r="S169" s="10" cm="1">
        <f t="array" ref="S169">INDEX('Subj-ConceptMap-1'!$I$15:$N$270,Q169+1,R169)</f>
        <v>0</v>
      </c>
    </row>
    <row r="170" spans="16:19" x14ac:dyDescent="0.75">
      <c r="P170" s="7">
        <v>156</v>
      </c>
      <c r="Q170" s="7">
        <f t="shared" si="21"/>
        <v>25</v>
      </c>
      <c r="R170" s="7">
        <f t="shared" si="22"/>
        <v>6</v>
      </c>
      <c r="S170" s="10" cm="1">
        <f t="array" ref="S170">INDEX('Subj-ConceptMap-1'!$I$15:$N$270,Q170+1,R170)</f>
        <v>0</v>
      </c>
    </row>
    <row r="171" spans="16:19" x14ac:dyDescent="0.75">
      <c r="P171" s="7">
        <v>157</v>
      </c>
      <c r="Q171" s="7">
        <f t="shared" si="21"/>
        <v>26</v>
      </c>
      <c r="R171" s="7">
        <f t="shared" si="22"/>
        <v>1</v>
      </c>
      <c r="S171" s="10" cm="1">
        <f t="array" ref="S171">INDEX('Subj-ConceptMap-1'!$I$15:$N$270,Q171+1,R171)</f>
        <v>0</v>
      </c>
    </row>
    <row r="172" spans="16:19" x14ac:dyDescent="0.75">
      <c r="P172" s="7">
        <v>158</v>
      </c>
      <c r="Q172" s="7">
        <f t="shared" si="21"/>
        <v>26</v>
      </c>
      <c r="R172" s="7">
        <f t="shared" si="22"/>
        <v>2</v>
      </c>
      <c r="S172" s="10" cm="1">
        <f t="array" ref="S172">INDEX('Subj-ConceptMap-1'!$I$15:$N$270,Q172+1,R172)</f>
        <v>0</v>
      </c>
    </row>
    <row r="173" spans="16:19" x14ac:dyDescent="0.75">
      <c r="P173" s="7">
        <v>159</v>
      </c>
      <c r="Q173" s="7">
        <f t="shared" si="21"/>
        <v>26</v>
      </c>
      <c r="R173" s="7">
        <f t="shared" si="22"/>
        <v>3</v>
      </c>
      <c r="S173" s="10" cm="1">
        <f t="array" ref="S173">INDEX('Subj-ConceptMap-1'!$I$15:$N$270,Q173+1,R173)</f>
        <v>0</v>
      </c>
    </row>
    <row r="174" spans="16:19" x14ac:dyDescent="0.75">
      <c r="P174" s="7">
        <v>160</v>
      </c>
      <c r="Q174" s="7">
        <f t="shared" si="21"/>
        <v>26</v>
      </c>
      <c r="R174" s="7">
        <f t="shared" si="22"/>
        <v>4</v>
      </c>
      <c r="S174" s="10" cm="1">
        <f t="array" ref="S174">INDEX('Subj-ConceptMap-1'!$I$15:$N$270,Q174+1,R174)</f>
        <v>0</v>
      </c>
    </row>
    <row r="175" spans="16:19" x14ac:dyDescent="0.75">
      <c r="P175" s="7">
        <v>161</v>
      </c>
      <c r="Q175" s="7">
        <f t="shared" si="21"/>
        <v>26</v>
      </c>
      <c r="R175" s="7">
        <f t="shared" si="22"/>
        <v>5</v>
      </c>
      <c r="S175" s="10" cm="1">
        <f t="array" ref="S175">INDEX('Subj-ConceptMap-1'!$I$15:$N$270,Q175+1,R175)</f>
        <v>0</v>
      </c>
    </row>
    <row r="176" spans="16:19" x14ac:dyDescent="0.75">
      <c r="P176" s="7">
        <v>162</v>
      </c>
      <c r="Q176" s="7">
        <f t="shared" si="21"/>
        <v>26</v>
      </c>
      <c r="R176" s="7">
        <f t="shared" si="22"/>
        <v>6</v>
      </c>
      <c r="S176" s="10" cm="1">
        <f t="array" ref="S176">INDEX('Subj-ConceptMap-1'!$I$15:$N$270,Q176+1,R176)</f>
        <v>0</v>
      </c>
    </row>
    <row r="177" spans="16:19" x14ac:dyDescent="0.75">
      <c r="P177" s="7">
        <v>163</v>
      </c>
      <c r="Q177" s="7">
        <f t="shared" si="21"/>
        <v>27</v>
      </c>
      <c r="R177" s="7">
        <f t="shared" si="22"/>
        <v>1</v>
      </c>
      <c r="S177" s="10" cm="1">
        <f t="array" ref="S177">INDEX('Subj-ConceptMap-1'!$I$15:$N$270,Q177+1,R177)</f>
        <v>0</v>
      </c>
    </row>
    <row r="178" spans="16:19" x14ac:dyDescent="0.75">
      <c r="P178" s="7">
        <v>164</v>
      </c>
      <c r="Q178" s="7">
        <f t="shared" si="21"/>
        <v>27</v>
      </c>
      <c r="R178" s="7">
        <f t="shared" si="22"/>
        <v>2</v>
      </c>
      <c r="S178" s="10" cm="1">
        <f t="array" ref="S178">INDEX('Subj-ConceptMap-1'!$I$15:$N$270,Q178+1,R178)</f>
        <v>0</v>
      </c>
    </row>
    <row r="179" spans="16:19" x14ac:dyDescent="0.75">
      <c r="P179" s="7">
        <v>165</v>
      </c>
      <c r="Q179" s="7">
        <f t="shared" si="21"/>
        <v>27</v>
      </c>
      <c r="R179" s="7">
        <f t="shared" si="22"/>
        <v>3</v>
      </c>
      <c r="S179" s="10" cm="1">
        <f t="array" ref="S179">INDEX('Subj-ConceptMap-1'!$I$15:$N$270,Q179+1,R179)</f>
        <v>0</v>
      </c>
    </row>
    <row r="180" spans="16:19" x14ac:dyDescent="0.75">
      <c r="P180" s="7">
        <v>166</v>
      </c>
      <c r="Q180" s="7">
        <f t="shared" si="21"/>
        <v>27</v>
      </c>
      <c r="R180" s="7">
        <f t="shared" si="22"/>
        <v>4</v>
      </c>
      <c r="S180" s="10" cm="1">
        <f t="array" ref="S180">INDEX('Subj-ConceptMap-1'!$I$15:$N$270,Q180+1,R180)</f>
        <v>0</v>
      </c>
    </row>
    <row r="181" spans="16:19" x14ac:dyDescent="0.75">
      <c r="P181" s="7">
        <v>167</v>
      </c>
      <c r="Q181" s="7">
        <f t="shared" si="21"/>
        <v>27</v>
      </c>
      <c r="R181" s="7">
        <f t="shared" si="22"/>
        <v>5</v>
      </c>
      <c r="S181" s="10" cm="1">
        <f t="array" ref="S181">INDEX('Subj-ConceptMap-1'!$I$15:$N$270,Q181+1,R181)</f>
        <v>0</v>
      </c>
    </row>
    <row r="182" spans="16:19" x14ac:dyDescent="0.75">
      <c r="P182" s="7">
        <v>168</v>
      </c>
      <c r="Q182" s="7">
        <f t="shared" si="21"/>
        <v>27</v>
      </c>
      <c r="R182" s="7">
        <f t="shared" si="22"/>
        <v>6</v>
      </c>
      <c r="S182" s="10" cm="1">
        <f t="array" ref="S182">INDEX('Subj-ConceptMap-1'!$I$15:$N$270,Q182+1,R182)</f>
        <v>0</v>
      </c>
    </row>
    <row r="183" spans="16:19" x14ac:dyDescent="0.75">
      <c r="P183" s="7">
        <v>169</v>
      </c>
      <c r="Q183" s="7">
        <f t="shared" si="21"/>
        <v>28</v>
      </c>
      <c r="R183" s="7">
        <f t="shared" si="22"/>
        <v>1</v>
      </c>
      <c r="S183" s="10" cm="1">
        <f t="array" ref="S183">INDEX('Subj-ConceptMap-1'!$I$15:$N$270,Q183+1,R183)</f>
        <v>0</v>
      </c>
    </row>
    <row r="184" spans="16:19" x14ac:dyDescent="0.75">
      <c r="P184" s="7">
        <v>170</v>
      </c>
      <c r="Q184" s="7">
        <f t="shared" si="21"/>
        <v>28</v>
      </c>
      <c r="R184" s="7">
        <f t="shared" si="22"/>
        <v>2</v>
      </c>
      <c r="S184" s="10" cm="1">
        <f t="array" ref="S184">INDEX('Subj-ConceptMap-1'!$I$15:$N$270,Q184+1,R184)</f>
        <v>0</v>
      </c>
    </row>
    <row r="185" spans="16:19" x14ac:dyDescent="0.75">
      <c r="P185" s="7">
        <v>171</v>
      </c>
      <c r="Q185" s="7">
        <f t="shared" si="21"/>
        <v>28</v>
      </c>
      <c r="R185" s="7">
        <f t="shared" si="22"/>
        <v>3</v>
      </c>
      <c r="S185" s="10" cm="1">
        <f t="array" ref="S185">INDEX('Subj-ConceptMap-1'!$I$15:$N$270,Q185+1,R185)</f>
        <v>0</v>
      </c>
    </row>
    <row r="186" spans="16:19" x14ac:dyDescent="0.75">
      <c r="P186" s="7">
        <v>172</v>
      </c>
      <c r="Q186" s="7">
        <f t="shared" si="21"/>
        <v>28</v>
      </c>
      <c r="R186" s="7">
        <f t="shared" si="22"/>
        <v>4</v>
      </c>
      <c r="S186" s="10" cm="1">
        <f t="array" ref="S186">INDEX('Subj-ConceptMap-1'!$I$15:$N$270,Q186+1,R186)</f>
        <v>0</v>
      </c>
    </row>
    <row r="187" spans="16:19" x14ac:dyDescent="0.75">
      <c r="P187" s="7">
        <v>173</v>
      </c>
      <c r="Q187" s="7">
        <f t="shared" si="21"/>
        <v>28</v>
      </c>
      <c r="R187" s="7">
        <f t="shared" si="22"/>
        <v>5</v>
      </c>
      <c r="S187" s="10" cm="1">
        <f t="array" ref="S187">INDEX('Subj-ConceptMap-1'!$I$15:$N$270,Q187+1,R187)</f>
        <v>0</v>
      </c>
    </row>
    <row r="188" spans="16:19" x14ac:dyDescent="0.75">
      <c r="P188" s="7">
        <v>174</v>
      </c>
      <c r="Q188" s="7">
        <f t="shared" si="21"/>
        <v>28</v>
      </c>
      <c r="R188" s="7">
        <f t="shared" si="22"/>
        <v>6</v>
      </c>
      <c r="S188" s="10" cm="1">
        <f t="array" ref="S188">INDEX('Subj-ConceptMap-1'!$I$15:$N$270,Q188+1,R188)</f>
        <v>0</v>
      </c>
    </row>
    <row r="189" spans="16:19" x14ac:dyDescent="0.75">
      <c r="P189" s="7">
        <v>175</v>
      </c>
      <c r="Q189" s="7">
        <f t="shared" si="21"/>
        <v>29</v>
      </c>
      <c r="R189" s="7">
        <f t="shared" si="22"/>
        <v>1</v>
      </c>
      <c r="S189" s="10" cm="1">
        <f t="array" ref="S189">INDEX('Subj-ConceptMap-1'!$I$15:$N$270,Q189+1,R189)</f>
        <v>0</v>
      </c>
    </row>
    <row r="190" spans="16:19" x14ac:dyDescent="0.75">
      <c r="P190" s="7">
        <v>176</v>
      </c>
      <c r="Q190" s="7">
        <f t="shared" si="21"/>
        <v>29</v>
      </c>
      <c r="R190" s="7">
        <f t="shared" si="22"/>
        <v>2</v>
      </c>
      <c r="S190" s="10" cm="1">
        <f t="array" ref="S190">INDEX('Subj-ConceptMap-1'!$I$15:$N$270,Q190+1,R190)</f>
        <v>0</v>
      </c>
    </row>
  </sheetData>
  <mergeCells count="4">
    <mergeCell ref="E3:G3"/>
    <mergeCell ref="E4:G4"/>
    <mergeCell ref="E6:G6"/>
    <mergeCell ref="E7:G7"/>
  </mergeCells>
  <hyperlinks>
    <hyperlink ref="C6" r:id="rId1" xr:uid="{6A334214-24E7-4227-BBD5-19CA746AC2E5}"/>
    <hyperlink ref="E4" r:id="rId2" display="http://hl7.eu/fhir/laboratory/StructureDefinition/Patient-eu-lab" xr:uid="{0272DBA0-1D29-48B8-B763-2B5A792DBB28}"/>
    <hyperlink ref="E7" r:id="rId3" display="http://hl7.eu/fhir/laboratory/StructureDefinition/Patient-eu-lab" xr:uid="{F0ECEE33-8E1E-444C-BBE5-EC56063B8A7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
        <v>326</v>
      </c>
    </row>
    <row r="3" spans="2:7" x14ac:dyDescent="0.75">
      <c r="B3" s="21" t="s">
        <v>21</v>
      </c>
    </row>
    <row r="4" spans="2:7" x14ac:dyDescent="0.75">
      <c r="B4" s="50" t="str">
        <f>"Instance: "&amp;'Subj-ConceptMap-1'!C4</f>
        <v>Instance: subject2FHIR-eu-xpandh</v>
      </c>
    </row>
    <row r="5" spans="2:7" x14ac:dyDescent="0.75">
      <c r="B5" s="50" t="s">
        <v>304</v>
      </c>
    </row>
    <row r="6" spans="2:7" x14ac:dyDescent="0.75">
      <c r="B6" s="50" t="s">
        <v>305</v>
      </c>
    </row>
    <row r="7" spans="2:7" x14ac:dyDescent="0.75">
      <c r="B7" s="50" t="s">
        <v>309</v>
      </c>
    </row>
    <row r="8" spans="2:7" x14ac:dyDescent="0.75">
      <c r="B8" s="50" t="str">
        <f>"* name = ##34#"&amp;'Subj-ConceptMap-1'!C3&amp;"##34#"</f>
        <v>* name = ##34#LabRptSubject2Fhir##34#</v>
      </c>
    </row>
    <row r="9" spans="2:7" x14ac:dyDescent="0.75">
      <c r="B9" s="50" t="str">
        <f>"* title = ##34#"&amp;'Subj-ConceptMap-1'!C5&amp;"##34#"</f>
        <v>* title = ##34#eHN Subject to this guide Map##34#</v>
      </c>
    </row>
    <row r="10" spans="2:7" x14ac:dyDescent="0.75">
      <c r="B10" s="50" t="s">
        <v>306</v>
      </c>
    </row>
    <row r="11" spans="2:7" x14ac:dyDescent="0.75">
      <c r="B11" s="50" t="s">
        <v>307</v>
      </c>
    </row>
    <row r="12" spans="2:7" x14ac:dyDescent="0.75">
      <c r="B12" s="50" t="str">
        <f>"* description = ##34#"&amp;'Subj-ConceptMap-1'!C8&amp;"##34#"</f>
        <v>* description = ##34#eHN Subject Model to this guide Map##34#</v>
      </c>
    </row>
    <row r="13" spans="2:7" x14ac:dyDescent="0.75">
      <c r="B13" s="50" t="str">
        <f>"* purpose = ##34#"&amp;'Subj-ConceptMap-1'!C9&amp;"##34#"</f>
        <v>* purpose = ##34#It shows how the Laboratory Report Subject data set defined by the EU eHN guidelines is mapped into this guide##34#</v>
      </c>
    </row>
    <row r="14" spans="2:7" x14ac:dyDescent="0.75">
      <c r="B14" s="51" t="str">
        <f>"* sourceUri = ##34#"&amp;'Subj-ConceptMap-1'!E3&amp;"##34#"</f>
        <v>* sourceUri = ##34#http://hl7.eu/fhir/laboratory/StructureDefinition/Subject##34#</v>
      </c>
    </row>
    <row r="15" spans="2:7" x14ac:dyDescent="0.75">
      <c r="B15" s="51" t="str">
        <f>"* targetUri = ##34#"&amp;'Subj-ConceptMap-1'!E4&amp;"##34#"</f>
        <v>* targetUri = ##34#http://hl7.eu/fhir/laboratory/StructureDefinition/Patient-eu-xpandh##34#</v>
      </c>
    </row>
    <row r="16" spans="2:7" x14ac:dyDescent="0.75">
      <c r="B16" s="50"/>
    </row>
    <row r="17" spans="2:7" x14ac:dyDescent="0.75">
      <c r="B17" s="52" t="str">
        <f>"* group[+].source = ##34#"&amp;'Subj-ConceptMap-1'!E6&amp;"##34#"</f>
        <v>* group[+].source = ##34#http://hl7.eu/fhir/laboratory/StructureDefinition/Subject##34#</v>
      </c>
    </row>
    <row r="18" spans="2:7" x14ac:dyDescent="0.75">
      <c r="B18" s="52" t="str">
        <f>"* group[=].target = ##34#"&amp;'Subj-ConceptMap-1'!E7&amp;"##34#"</f>
        <v>* group[=].target = ##34#http://hl7.eu/fhir/laboratory/StructureDefinition/Patient-eu-xpandh##34#</v>
      </c>
    </row>
    <row r="19" spans="2:7" x14ac:dyDescent="0.75">
      <c r="B19" s="54"/>
    </row>
    <row r="20" spans="2:7" x14ac:dyDescent="0.75">
      <c r="B20" s="10" t="str">
        <f>IF('Subj-ConceptMap-1'!S15=0,"//---END",'Subj-ConceptMap-1'!S15)</f>
        <v>* group[=].element[+].code = #Subject.familyName</v>
      </c>
    </row>
    <row r="21" spans="2:7" x14ac:dyDescent="0.75">
      <c r="B21" s="10" t="str">
        <f>IF('Subj-ConceptMap-1'!S16=0,"//---END",'Subj-ConceptMap-1'!S16)</f>
        <v>* group[=].element[=].display = ##34#A.1.1.1 Familyname/surname##34#</v>
      </c>
    </row>
    <row r="22" spans="2:7" x14ac:dyDescent="0.75">
      <c r="B22" s="10" t="str">
        <f>IF('Subj-ConceptMap-1'!S17=0,"//---END",'Subj-ConceptMap-1'!S17)</f>
        <v>* group[=].element[=].target.code = #Patient</v>
      </c>
    </row>
    <row r="23" spans="2:7" x14ac:dyDescent="0.75">
      <c r="B23" s="10" t="str">
        <f>IF('Subj-ConceptMap-1'!S18=0,"//---END",'Subj-ConceptMap-1'!S18)</f>
        <v>* group[=].element[=].target.display = ##34###34#</v>
      </c>
    </row>
    <row r="24" spans="2:7" x14ac:dyDescent="0.75">
      <c r="B24" s="10" t="str">
        <f>IF('Subj-ConceptMap-1'!S19=0,"//---END",'Subj-ConceptMap-1'!S19)</f>
        <v>* group[=].element[=].target.equivalence = #relatedto</v>
      </c>
    </row>
    <row r="25" spans="2:7" x14ac:dyDescent="0.75">
      <c r="B25" s="10" t="str">
        <f>IF('Subj-ConceptMap-1'!S20=0,"//---END",'Subj-ConceptMap-1'!S20)</f>
        <v/>
      </c>
      <c r="G25" s="8"/>
    </row>
    <row r="26" spans="2:7" x14ac:dyDescent="0.75">
      <c r="B26" s="10" t="str">
        <f>IF('Subj-ConceptMap-1'!S21=0,"//---END",'Subj-ConceptMap-1'!S21)</f>
        <v>* group[=].element[+].code = #Subject.givenName</v>
      </c>
    </row>
    <row r="27" spans="2:7" x14ac:dyDescent="0.75">
      <c r="B27" s="10" t="str">
        <f>IF('Subj-ConceptMap-1'!S22=0,"//---END",'Subj-ConceptMap-1'!S22)</f>
        <v>* group[=].element[=].display = ##34#A.1.1.2 Given name##34#</v>
      </c>
    </row>
    <row r="28" spans="2:7" x14ac:dyDescent="0.75">
      <c r="B28" s="10" t="str">
        <f>IF('Subj-ConceptMap-1'!S23=0,"//---END",'Subj-ConceptMap-1'!S23)</f>
        <v>* group[=].element[=].target.code = #Patient.name.family</v>
      </c>
    </row>
    <row r="29" spans="2:7" x14ac:dyDescent="0.75">
      <c r="B29" s="10" t="str">
        <f>IF('Subj-ConceptMap-1'!S24=0,"//---END",'Subj-ConceptMap-1'!S24)</f>
        <v>* group[=].element[=].target.display = ##34###34#</v>
      </c>
    </row>
    <row r="30" spans="2:7" x14ac:dyDescent="0.75">
      <c r="B30" s="10" t="str">
        <f>IF('Subj-ConceptMap-1'!S25=0,"//---END",'Subj-ConceptMap-1'!S25)</f>
        <v>* group[=].element[=].target.equivalence = #equivalent</v>
      </c>
    </row>
    <row r="31" spans="2:7" x14ac:dyDescent="0.75">
      <c r="B31" s="10" t="str">
        <f>IF('Subj-ConceptMap-1'!S26=0,"//---END",'Subj-ConceptMap-1'!S26)</f>
        <v/>
      </c>
    </row>
    <row r="32" spans="2:7" x14ac:dyDescent="0.75">
      <c r="B32" s="10" t="str">
        <f>IF('Subj-ConceptMap-1'!S27=0,"//---END",'Subj-ConceptMap-1'!S27)</f>
        <v>* group[=].element[+].code = #Subject.dateOfBirth</v>
      </c>
    </row>
    <row r="33" spans="2:2" x14ac:dyDescent="0.75">
      <c r="B33" s="10" t="str">
        <f>IF('Subj-ConceptMap-1'!S28=0,"//---END",'Subj-ConceptMap-1'!S28)</f>
        <v>* group[=].element[=].display = ##34#A.1.1.3 Date of birth##34#</v>
      </c>
    </row>
    <row r="34" spans="2:2" x14ac:dyDescent="0.75">
      <c r="B34" s="10" t="str">
        <f>IF('Subj-ConceptMap-1'!S29=0,"//---END",'Subj-ConceptMap-1'!S29)</f>
        <v>* group[=].element[=].target.code = #Patient.name.given</v>
      </c>
    </row>
    <row r="35" spans="2:2" x14ac:dyDescent="0.75">
      <c r="B35" s="10" t="str">
        <f>IF('Subj-ConceptMap-1'!S30=0,"//---END",'Subj-ConceptMap-1'!S30)</f>
        <v>* group[=].element[=].target.display = ##34###34#</v>
      </c>
    </row>
    <row r="36" spans="2:2" x14ac:dyDescent="0.75">
      <c r="B36" s="10" t="str">
        <f>IF('Subj-ConceptMap-1'!S31=0,"//---END",'Subj-ConceptMap-1'!S31)</f>
        <v>* group[=].element[=].target.equivalence = #equivalent</v>
      </c>
    </row>
    <row r="37" spans="2:2" x14ac:dyDescent="0.75">
      <c r="B37" s="10" t="str">
        <f>IF('Subj-ConceptMap-1'!S32=0,"//---END",'Subj-ConceptMap-1'!S32)</f>
        <v/>
      </c>
    </row>
    <row r="38" spans="2:2" x14ac:dyDescent="0.75">
      <c r="B38" s="10" t="str">
        <f>IF('Subj-ConceptMap-1'!S33=0,"//---END",'Subj-ConceptMap-1'!S33)</f>
        <v>* group[=].element[+].code = #Subject.identifier</v>
      </c>
    </row>
    <row r="39" spans="2:2" x14ac:dyDescent="0.75">
      <c r="B39" s="10" t="str">
        <f>IF('Subj-ConceptMap-1'!S34=0,"//---END",'Subj-ConceptMap-1'!S34)</f>
        <v>* group[=].element[=].display = ##34#A.1.1.4 Personal identifier##34#</v>
      </c>
    </row>
    <row r="40" spans="2:2" x14ac:dyDescent="0.75">
      <c r="B40" s="10" t="str">
        <f>IF('Subj-ConceptMap-1'!S35=0,"//---END",'Subj-ConceptMap-1'!S35)</f>
        <v>* group[=].element[=].target.code = #Patient.birthDate</v>
      </c>
    </row>
    <row r="41" spans="2:2" x14ac:dyDescent="0.75">
      <c r="B41" s="10" t="str">
        <f>IF('Subj-ConceptMap-1'!S36=0,"//---END",'Subj-ConceptMap-1'!S36)</f>
        <v>* group[=].element[=].target.display = ##34###34#</v>
      </c>
    </row>
    <row r="42" spans="2:2" x14ac:dyDescent="0.75">
      <c r="B42" s="10" t="str">
        <f>IF('Subj-ConceptMap-1'!S37=0,"//---END",'Subj-ConceptMap-1'!S37)</f>
        <v>* group[=].element[=].target.equivalence = #equivalent</v>
      </c>
    </row>
    <row r="43" spans="2:2" x14ac:dyDescent="0.75">
      <c r="B43" s="10" t="str">
        <f>IF('Subj-ConceptMap-1'!S38=0,"//---END",'Subj-ConceptMap-1'!S38)</f>
        <v/>
      </c>
    </row>
    <row r="44" spans="2:2" x14ac:dyDescent="0.75">
      <c r="B44" s="10" t="str">
        <f>IF('Subj-ConceptMap-1'!S39=0,"//---END",'Subj-ConceptMap-1'!S39)</f>
        <v>* group[=].element[+].code = #Subject.gender</v>
      </c>
    </row>
    <row r="45" spans="2:2" x14ac:dyDescent="0.75">
      <c r="B45" s="10" t="str">
        <f>IF('Subj-ConceptMap-1'!S40=0,"//---END",'Subj-ConceptMap-1'!S40)</f>
        <v>* group[=].element[=].display = ##34#A.1.1.5 Gender##34#</v>
      </c>
    </row>
    <row r="46" spans="2:2" x14ac:dyDescent="0.75">
      <c r="B46" s="10" t="str">
        <f>IF('Subj-ConceptMap-1'!S41=0,"//---END",'Subj-ConceptMap-1'!S41)</f>
        <v>* group[=].element[=].target.code = #Patient.identifier</v>
      </c>
    </row>
    <row r="47" spans="2:2" x14ac:dyDescent="0.75">
      <c r="B47" s="10" t="str">
        <f>IF('Subj-ConceptMap-1'!S42=0,"//---END",'Subj-ConceptMap-1'!S42)</f>
        <v>* group[=].element[=].target.display = ##34###34#</v>
      </c>
    </row>
    <row r="48" spans="2:2" x14ac:dyDescent="0.75">
      <c r="B48" s="10" t="str">
        <f>IF('Subj-ConceptMap-1'!S43=0,"//---END",'Subj-ConceptMap-1'!S43)</f>
        <v>* group[=].element[=].target.equivalence = #equivalent</v>
      </c>
    </row>
    <row r="49" spans="2:2" x14ac:dyDescent="0.75">
      <c r="B49" s="10" t="str">
        <f>IF('Subj-ConceptMap-1'!S44=0,"//---END",'Subj-ConceptMap-1'!S44)</f>
        <v/>
      </c>
    </row>
    <row r="50" spans="2:2" x14ac:dyDescent="0.75">
      <c r="B50" s="10" t="str">
        <f>IF('Subj-ConceptMap-1'!S45=0,"//---END",'Subj-ConceptMap-1'!S45)</f>
        <v>* group[=].element[+].code = #Subject.0</v>
      </c>
    </row>
    <row r="51" spans="2:2" x14ac:dyDescent="0.75">
      <c r="B51" s="10" t="str">
        <f>IF('Subj-ConceptMap-1'!S46=0,"//---END",'Subj-ConceptMap-1'!S46)</f>
        <v>* group[=].element[=].display = ##34#0##34#</v>
      </c>
    </row>
    <row r="52" spans="2:2" x14ac:dyDescent="0.75">
      <c r="B52" s="10" t="str">
        <f>IF('Subj-ConceptMap-1'!S47=0,"//---END",'Subj-ConceptMap-1'!S47)</f>
        <v>* group[=].element[=].target.code = #Patient.gender</v>
      </c>
    </row>
    <row r="53" spans="2:2" x14ac:dyDescent="0.75">
      <c r="B53" s="10" t="str">
        <f>IF('Subj-ConceptMap-1'!S48=0,"//---END",'Subj-ConceptMap-1'!S48)</f>
        <v>* group[=].element[=].target.display = ##34###34#</v>
      </c>
    </row>
    <row r="54" spans="2:2" x14ac:dyDescent="0.75">
      <c r="B54" s="10" t="str">
        <f>IF('Subj-ConceptMap-1'!S49=0,"//---END",'Subj-ConceptMap-1'!S49)</f>
        <v>* group[=].element[=].target.equivalence = #equivalent</v>
      </c>
    </row>
    <row r="55" spans="2:2" x14ac:dyDescent="0.75">
      <c r="B55" s="10" t="str">
        <f>IF('Subj-ConceptMap-1'!S50=0,"//---END",'Subj-ConceptMap-1'!S50)</f>
        <v/>
      </c>
    </row>
    <row r="56" spans="2:2" x14ac:dyDescent="0.75">
      <c r="B56" s="10" t="e">
        <f>IF('Subj-ConceptMap-1'!S51=0,"//---END",'Subj-ConceptMap-1'!S51)</f>
        <v>#REF!</v>
      </c>
    </row>
    <row r="57" spans="2:2" x14ac:dyDescent="0.75">
      <c r="B57" s="10" t="e">
        <f>IF('Subj-ConceptMap-1'!S52=0,"//---END",'Subj-ConceptMap-1'!S52)</f>
        <v>#REF!</v>
      </c>
    </row>
    <row r="58" spans="2:2" x14ac:dyDescent="0.75">
      <c r="B58" s="10" t="str">
        <f>IF('Subj-ConceptMap-1'!S53=0,"//---END",'Subj-ConceptMap-1'!S53)</f>
        <v>* group[=].element[=].target.code = #Patient</v>
      </c>
    </row>
    <row r="59" spans="2:2" x14ac:dyDescent="0.75">
      <c r="B59" s="10" t="str">
        <f>IF('Subj-ConceptMap-1'!S54=0,"//---END",'Subj-ConceptMap-1'!S54)</f>
        <v>* group[=].element[=].target.display = ##34###34#</v>
      </c>
    </row>
    <row r="60" spans="2:2" x14ac:dyDescent="0.75">
      <c r="B60" s="10" t="str">
        <f>IF('Subj-ConceptMap-1'!S55=0,"//---END",'Subj-ConceptMap-1'!S55)</f>
        <v>* group[=].element[=].target.equivalence = #relatedto</v>
      </c>
    </row>
    <row r="61" spans="2:2" x14ac:dyDescent="0.75">
      <c r="B61" s="10" t="str">
        <f>IF('Subj-ConceptMap-1'!S56=0,"//---END",'Subj-ConceptMap-1'!S56)</f>
        <v/>
      </c>
    </row>
    <row r="62" spans="2:2" x14ac:dyDescent="0.75">
      <c r="B62" s="10" t="e">
        <f>IF('Subj-ConceptMap-1'!S57=0,"//---END",'Subj-ConceptMap-1'!S57)</f>
        <v>#REF!</v>
      </c>
    </row>
    <row r="63" spans="2:2" x14ac:dyDescent="0.75">
      <c r="B63" s="10" t="e">
        <f>IF('Subj-ConceptMap-1'!S58=0,"//---END",'Subj-ConceptMap-1'!S58)</f>
        <v>#REF!</v>
      </c>
    </row>
    <row r="64" spans="2:2" x14ac:dyDescent="0.75">
      <c r="B64" s="10" t="str">
        <f>IF('Subj-ConceptMap-1'!S59=0,"//---END",'Subj-ConceptMap-1'!S59)</f>
        <v>* group[=].element[=].target.code = #Patient.address</v>
      </c>
    </row>
    <row r="65" spans="2:4" x14ac:dyDescent="0.75">
      <c r="B65" s="10" t="str">
        <f>IF('Subj-ConceptMap-1'!S60=0,"//---END",'Subj-ConceptMap-1'!S60)</f>
        <v>* group[=].element[=].target.display = ##34###34#</v>
      </c>
    </row>
    <row r="66" spans="2:4" x14ac:dyDescent="0.75">
      <c r="B66" s="10" t="str">
        <f>IF('Subj-ConceptMap-1'!S61=0,"//---END",'Subj-ConceptMap-1'!S61)</f>
        <v>* group[=].element[=].target.equivalence = #equivalent</v>
      </c>
    </row>
    <row r="67" spans="2:4" x14ac:dyDescent="0.75">
      <c r="B67" s="10" t="str">
        <f>IF('Subj-ConceptMap-1'!S62=0,"//---END",'Subj-ConceptMap-1'!S62)</f>
        <v/>
      </c>
    </row>
    <row r="68" spans="2:4" x14ac:dyDescent="0.75">
      <c r="B68" s="10" t="e">
        <f>IF('Subj-ConceptMap-1'!S63=0,"//---END",'Subj-ConceptMap-1'!S63)</f>
        <v>#REF!</v>
      </c>
    </row>
    <row r="69" spans="2:4" x14ac:dyDescent="0.75">
      <c r="B69" s="10" t="e">
        <f>IF('Subj-ConceptMap-1'!S64=0,"//---END",'Subj-ConceptMap-1'!S64)</f>
        <v>#REF!</v>
      </c>
    </row>
    <row r="70" spans="2:4" x14ac:dyDescent="0.75">
      <c r="B70" s="10" t="str">
        <f>IF('Subj-ConceptMap-1'!S65=0,"//---END",'Subj-ConceptMap-1'!S65)</f>
        <v>* group[=].element[=].target.code = #Patient.telecom</v>
      </c>
      <c r="D70" s="49"/>
    </row>
    <row r="71" spans="2:4" x14ac:dyDescent="0.75">
      <c r="B71" s="10" t="str">
        <f>IF('Subj-ConceptMap-1'!S66=0,"//---END",'Subj-ConceptMap-1'!S66)</f>
        <v>* group[=].element[=].target.display = ##34###34#</v>
      </c>
    </row>
    <row r="72" spans="2:4" x14ac:dyDescent="0.75">
      <c r="B72" s="10" t="str">
        <f>IF('Subj-ConceptMap-1'!S67=0,"//---END",'Subj-ConceptMap-1'!S67)</f>
        <v>* group[=].element[=].target.equivalence = #equivalent</v>
      </c>
    </row>
    <row r="73" spans="2:4" x14ac:dyDescent="0.75">
      <c r="B73" s="10" t="str">
        <f>IF('Subj-ConceptMap-1'!S68=0,"//---END",'Subj-ConceptMap-1'!S68)</f>
        <v/>
      </c>
    </row>
    <row r="74" spans="2:4" x14ac:dyDescent="0.75">
      <c r="B74" s="10" t="str">
        <f>IF('Subj-ConceptMap-1'!S69=0,"//---END",'Subj-ConceptMap-1'!S69)</f>
        <v>//---END</v>
      </c>
    </row>
    <row r="75" spans="2:4" x14ac:dyDescent="0.75">
      <c r="B75" s="10" t="str">
        <f>IF('Subj-ConceptMap-1'!S70=0,"//---END",'Subj-ConceptMap-1'!S70)</f>
        <v>//---END</v>
      </c>
    </row>
    <row r="76" spans="2:4" x14ac:dyDescent="0.75">
      <c r="B76" s="10" t="str">
        <f>IF('Subj-ConceptMap-1'!S71=0,"//---END",'Subj-ConceptMap-1'!S71)</f>
        <v>//---END</v>
      </c>
    </row>
    <row r="77" spans="2:4" x14ac:dyDescent="0.75">
      <c r="B77" s="10" t="str">
        <f>IF('Subj-ConceptMap-1'!S72=0,"//---END",'Subj-ConceptMap-1'!S72)</f>
        <v>//---END</v>
      </c>
    </row>
    <row r="78" spans="2:4" x14ac:dyDescent="0.75">
      <c r="B78" s="10"/>
    </row>
    <row r="79" spans="2:4" x14ac:dyDescent="0.75">
      <c r="B79" s="10"/>
    </row>
    <row r="80" spans="2:4" x14ac:dyDescent="0.75">
      <c r="B80" s="10"/>
    </row>
    <row r="81" spans="2:2" x14ac:dyDescent="0.75">
      <c r="B81" s="10"/>
    </row>
    <row r="82" spans="2:2" x14ac:dyDescent="0.75">
      <c r="B82" s="10"/>
    </row>
    <row r="83" spans="2:2" x14ac:dyDescent="0.75">
      <c r="B83" s="10"/>
    </row>
    <row r="84" spans="2:2" x14ac:dyDescent="0.75">
      <c r="B84" s="10"/>
    </row>
    <row r="85" spans="2:2" x14ac:dyDescent="0.75">
      <c r="B85" s="10"/>
    </row>
    <row r="86" spans="2:2" x14ac:dyDescent="0.75">
      <c r="B86" s="10"/>
    </row>
    <row r="87" spans="2:2" x14ac:dyDescent="0.75">
      <c r="B87" s="10"/>
    </row>
    <row r="88" spans="2:2" x14ac:dyDescent="0.75">
      <c r="B88" s="10"/>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8483-D1E3-4308-94B3-0B296394F67B}">
  <sheetPr codeName="Foglio64">
    <tabColor theme="7" tint="0.39997558519241921"/>
  </sheetPr>
  <dimension ref="A1:L26"/>
  <sheetViews>
    <sheetView workbookViewId="0">
      <selection activeCell="I8" sqref="I8:I26"/>
    </sheetView>
  </sheetViews>
  <sheetFormatPr defaultRowHeight="14.75" x14ac:dyDescent="0.75"/>
  <cols>
    <col min="1" max="1" width="16.54296875" customWidth="1"/>
    <col min="2" max="2" width="59.5" customWidth="1"/>
    <col min="3" max="3" width="48.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20" t="s">
        <v>21</v>
      </c>
    </row>
    <row r="2" spans="1:9" x14ac:dyDescent="0.75">
      <c r="I2" s="21" t="s">
        <v>20</v>
      </c>
    </row>
    <row r="3" spans="1:9" ht="15.5" thickBot="1" x14ac:dyDescent="0.9">
      <c r="I3" s="21" t="str">
        <f>I1</f>
        <v>// -------------------------------------------------------------------------------</v>
      </c>
    </row>
    <row r="4" spans="1:9" x14ac:dyDescent="0.75">
      <c r="A4" s="5" t="s">
        <v>14</v>
      </c>
      <c r="B4" s="12" t="s">
        <v>447</v>
      </c>
      <c r="I4" s="18" t="str">
        <f>CONCATENATE("Logical: ",B4)</f>
        <v>Logical: MedProductEhn</v>
      </c>
    </row>
    <row r="5" spans="1:9" x14ac:dyDescent="0.75">
      <c r="A5" s="13" t="s">
        <v>17</v>
      </c>
      <c r="B5" s="22" t="s">
        <v>448</v>
      </c>
      <c r="I5" s="18" t="str">
        <f>CONCATENATE("Id: ",B5)</f>
        <v>Id: MedicinalProduct</v>
      </c>
    </row>
    <row r="6" spans="1:9" x14ac:dyDescent="0.75">
      <c r="A6" s="13" t="s">
        <v>13</v>
      </c>
      <c r="B6" s="14" t="s">
        <v>369</v>
      </c>
      <c r="I6" s="19" t="str">
        <f>CONCATENATE("Title: ##34#",B6,"##34#")</f>
        <v>Title: ##34#A1.4 Identification of the prescribed product##34#</v>
      </c>
    </row>
    <row r="7" spans="1:9" ht="30.25" thickBot="1" x14ac:dyDescent="0.9">
      <c r="A7" s="15" t="s">
        <v>5</v>
      </c>
      <c r="B7" s="16" t="s">
        <v>449</v>
      </c>
      <c r="C7" s="9" t="s">
        <v>6</v>
      </c>
      <c r="D7" s="2" t="s">
        <v>7</v>
      </c>
      <c r="E7" s="3" t="s">
        <v>8</v>
      </c>
      <c r="F7" s="3" t="s">
        <v>9</v>
      </c>
      <c r="G7" s="3" t="s">
        <v>10</v>
      </c>
      <c r="I7" s="19" t="str">
        <f>CONCATENATE("Description: "," ##334#",B7,"##334#",)</f>
        <v>Description:  ##334#Identification of the prescribed product. Section A1.4 of the eHN guideline##334#</v>
      </c>
    </row>
    <row r="8" spans="1:9" ht="73.75" x14ac:dyDescent="0.75">
      <c r="A8" s="7">
        <v>1</v>
      </c>
      <c r="B8" s="7" t="s">
        <v>273</v>
      </c>
      <c r="C8" t="s">
        <v>450</v>
      </c>
      <c r="D8" s="1" t="s">
        <v>452</v>
      </c>
      <c r="E8" s="7">
        <v>0</v>
      </c>
      <c r="F8" s="7" t="s">
        <v>11</v>
      </c>
      <c r="G8" s="7" t="s">
        <v>3</v>
      </c>
      <c r="H8" s="17"/>
      <c r="I8" s="10" t="str">
        <f>CONCATENATE("* ",B8, " ",E8,"..",F8," ",G8," ##34#",C8,"##34# ##334#",D8,"##334#")</f>
        <v>* name 0..* string ##34#A.1.4.1 Name of the medicinal product##34# ##334#Brand name of the authorised medicinal product.
It has to be noted, that according to Implementing Directive 2012/52/EU additional requirements may apply.
[not applicable for generic prescriptions]##334#</v>
      </c>
    </row>
    <row r="9" spans="1:9" ht="73.75" x14ac:dyDescent="0.75">
      <c r="A9" s="7">
        <v>2</v>
      </c>
      <c r="B9" s="3" t="s">
        <v>475</v>
      </c>
      <c r="C9" t="s">
        <v>451</v>
      </c>
      <c r="D9" s="1" t="s">
        <v>453</v>
      </c>
      <c r="E9" s="7">
        <v>0</v>
      </c>
      <c r="F9" s="7" t="s">
        <v>11</v>
      </c>
      <c r="G9" s="7" t="s">
        <v>0</v>
      </c>
      <c r="H9" s="17"/>
      <c r="I9" s="10" t="str">
        <f t="shared" ref="I9:I26" si="0">CONCATENATE("* ",B9, " ",E9,"..",F9," ",G9," ##34#",C9,"##34# ##334#",D9,"##334#")</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1:9" ht="88.5" x14ac:dyDescent="0.75">
      <c r="A10" s="7">
        <v>3</v>
      </c>
      <c r="B10" s="7" t="s">
        <v>476</v>
      </c>
      <c r="C10" s="10" t="s">
        <v>454</v>
      </c>
      <c r="D10" s="10" t="s">
        <v>460</v>
      </c>
      <c r="E10" s="7">
        <v>0</v>
      </c>
      <c r="F10" s="7" t="s">
        <v>11</v>
      </c>
      <c r="G10" s="7" t="s">
        <v>0</v>
      </c>
      <c r="H10" s="17"/>
      <c r="I10" s="10" t="str">
        <f t="shared" si="0"/>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row>
    <row r="11" spans="1:9" ht="88.5" x14ac:dyDescent="0.75">
      <c r="A11" s="7">
        <v>4</v>
      </c>
      <c r="B11" s="7" t="s">
        <v>477</v>
      </c>
      <c r="C11" s="7" t="s">
        <v>455</v>
      </c>
      <c r="D11" s="10" t="s">
        <v>461</v>
      </c>
      <c r="E11" s="7">
        <v>0</v>
      </c>
      <c r="F11" s="7" t="s">
        <v>11</v>
      </c>
      <c r="G11" s="7" t="s">
        <v>0</v>
      </c>
      <c r="H11" s="17"/>
      <c r="I11" s="10" t="str">
        <f t="shared" si="0"/>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1:9" ht="59" x14ac:dyDescent="0.75">
      <c r="A12" s="7">
        <v>5</v>
      </c>
      <c r="B12" s="7" t="s">
        <v>478</v>
      </c>
      <c r="C12" s="7" t="s">
        <v>456</v>
      </c>
      <c r="D12" s="10" t="s">
        <v>462</v>
      </c>
      <c r="E12" s="7">
        <v>0</v>
      </c>
      <c r="F12" s="7">
        <v>1</v>
      </c>
      <c r="G12" s="7" t="s">
        <v>274</v>
      </c>
      <c r="H12" s="17"/>
      <c r="I12" s="10" t="str">
        <f t="shared" si="0"/>
        <v>* marketingAuthHolder 0..1 Organization ##34#A.1.4.3 Marketing authorisation holder##34# ##334#Organisation that holds the marketing authorisation of the prescribed product.
[not applicable for generic prescriptions]##334#</v>
      </c>
    </row>
    <row r="13" spans="1:9" ht="59" x14ac:dyDescent="0.75">
      <c r="A13" s="7">
        <v>6</v>
      </c>
      <c r="B13" s="7" t="s">
        <v>479</v>
      </c>
      <c r="C13" s="7" t="s">
        <v>457</v>
      </c>
      <c r="D13" s="10" t="s">
        <v>463</v>
      </c>
      <c r="E13" s="7">
        <v>0</v>
      </c>
      <c r="F13" s="7" t="s">
        <v>11</v>
      </c>
      <c r="G13" s="7" t="s">
        <v>1</v>
      </c>
      <c r="H13" s="17"/>
      <c r="I13" s="10" t="str">
        <f t="shared" si="0"/>
        <v>* activeSubstance 0..* CodeableConcept ##34#A.1.4.4 Active substance(s)##34# ##334#All active substances according to ISO 11238. Referred to by "common name" in implementing directive 2012/52/EU. 
 - Preferred system(s): EMA SMS##334#</v>
      </c>
    </row>
    <row r="14" spans="1:9" ht="73.75" x14ac:dyDescent="0.75">
      <c r="A14" s="7">
        <v>7</v>
      </c>
      <c r="B14" s="7" t="s">
        <v>480</v>
      </c>
      <c r="C14" s="7" t="s">
        <v>458</v>
      </c>
      <c r="D14" s="10" t="s">
        <v>464</v>
      </c>
      <c r="E14" s="7">
        <v>0</v>
      </c>
      <c r="F14" s="7" t="s">
        <v>11</v>
      </c>
      <c r="G14" s="7" t="s">
        <v>466</v>
      </c>
      <c r="H14" s="17"/>
      <c r="I14" s="10" t="str">
        <f t="shared" si="0"/>
        <v>* strength 0..* Ratio ##34#A.1.4.4.1 Strength of the active substance(s)##34# ##334#Presentation and/or concentration strength of the active substances. In addition, reference strength could be provided (Article 1 of Directive 2001/83/EC).
 - Preferred system(s): UCUM; EDQM##334#</v>
      </c>
    </row>
    <row r="15" spans="1:9" ht="44.25" x14ac:dyDescent="0.75">
      <c r="A15" s="7">
        <v>8</v>
      </c>
      <c r="B15" s="7" t="s">
        <v>481</v>
      </c>
      <c r="C15" s="7" t="s">
        <v>459</v>
      </c>
      <c r="D15" s="10" t="s">
        <v>465</v>
      </c>
      <c r="E15" s="7">
        <v>0</v>
      </c>
      <c r="F15" s="7" t="s">
        <v>11</v>
      </c>
      <c r="G15" s="7" t="s">
        <v>1</v>
      </c>
      <c r="H15" s="17"/>
      <c r="I15" s="10" t="str">
        <f t="shared" si="0"/>
        <v>* classification 0..* CodeableConcept ##34#A.1.4.5 Product classification ##34# ##334#WHO ATC code of the product 
 - Preferred system(s): ATC##334#</v>
      </c>
    </row>
    <row r="16" spans="1:9" ht="177" x14ac:dyDescent="0.75">
      <c r="A16" s="7">
        <v>9</v>
      </c>
      <c r="B16" s="63" t="s">
        <v>482</v>
      </c>
      <c r="C16" t="s">
        <v>467</v>
      </c>
      <c r="D16" s="1" t="s">
        <v>470</v>
      </c>
      <c r="E16" s="7">
        <v>0</v>
      </c>
      <c r="F16" s="7" t="s">
        <v>11</v>
      </c>
      <c r="G16" s="7" t="s">
        <v>1</v>
      </c>
      <c r="I16" s="10" t="str">
        <f t="shared" si="0"/>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1:9" ht="73.75" x14ac:dyDescent="0.75">
      <c r="A17" s="7">
        <v>10</v>
      </c>
      <c r="B17" s="63" t="s">
        <v>483</v>
      </c>
      <c r="C17" t="s">
        <v>468</v>
      </c>
      <c r="D17" s="1" t="s">
        <v>471</v>
      </c>
      <c r="E17" s="7">
        <v>0</v>
      </c>
      <c r="F17" s="7" t="s">
        <v>11</v>
      </c>
      <c r="G17" s="7" t="s">
        <v>1</v>
      </c>
      <c r="I17" s="10" t="str">
        <f t="shared" si="0"/>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1:9" ht="44.25" x14ac:dyDescent="0.75">
      <c r="A18" s="7">
        <v>11</v>
      </c>
      <c r="B18" s="63" t="s">
        <v>484</v>
      </c>
      <c r="C18" t="s">
        <v>469</v>
      </c>
      <c r="D18" s="1" t="s">
        <v>472</v>
      </c>
      <c r="E18" s="7">
        <v>0</v>
      </c>
      <c r="F18" s="7" t="s">
        <v>11</v>
      </c>
      <c r="G18" s="7" t="s">
        <v>1</v>
      </c>
      <c r="I18" s="10" t="str">
        <f t="shared" si="0"/>
        <v>* packageType 0..* CodeableConcept ##34#A.1.4.8 Package type##34# ##334#Type of the container, Examples: bottle, blister, box
 - Preferred system(s): EDQM##334#</v>
      </c>
    </row>
    <row r="19" spans="1:9" ht="132.75" x14ac:dyDescent="0.75">
      <c r="A19" s="7">
        <v>12</v>
      </c>
      <c r="B19" s="63" t="s">
        <v>485</v>
      </c>
      <c r="C19" t="s">
        <v>473</v>
      </c>
      <c r="D19" s="1" t="s">
        <v>474</v>
      </c>
      <c r="E19" s="7">
        <v>0</v>
      </c>
      <c r="F19" s="7" t="s">
        <v>11</v>
      </c>
      <c r="G19" s="63" t="s">
        <v>4</v>
      </c>
      <c r="I19" s="10" t="str">
        <f t="shared" si="0"/>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1:9" x14ac:dyDescent="0.75">
      <c r="I20" s="10" t="str">
        <f t="shared" si="0"/>
        <v>*  ..  ##34###34# ##334###334#</v>
      </c>
    </row>
    <row r="21" spans="1:9" x14ac:dyDescent="0.75">
      <c r="I21" s="10" t="str">
        <f t="shared" si="0"/>
        <v>*  ..  ##34###34# ##334###334#</v>
      </c>
    </row>
    <row r="22" spans="1:9" x14ac:dyDescent="0.75">
      <c r="I22" s="10" t="str">
        <f t="shared" si="0"/>
        <v>*  ..  ##34###34# ##334###334#</v>
      </c>
    </row>
    <row r="23" spans="1:9" x14ac:dyDescent="0.75">
      <c r="I23" s="10" t="str">
        <f t="shared" si="0"/>
        <v>*  ..  ##34###34# ##334###334#</v>
      </c>
    </row>
    <row r="24" spans="1:9" x14ac:dyDescent="0.75">
      <c r="I24" s="10" t="str">
        <f t="shared" si="0"/>
        <v>*  ..  ##34###34# ##334###334#</v>
      </c>
    </row>
    <row r="25" spans="1:9" x14ac:dyDescent="0.75">
      <c r="I25" s="10" t="str">
        <f t="shared" si="0"/>
        <v>*  ..  ##34###34# ##334###334#</v>
      </c>
    </row>
    <row r="26" spans="1:9" x14ac:dyDescent="0.75">
      <c r="I26" s="10" t="str">
        <f t="shared" si="0"/>
        <v>*  ..  ##34###34# ##334###334#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E10CE-4DF0-4AA6-B836-A53D38768B97}">
  <sheetPr codeName="Foglio68">
    <tabColor theme="8" tint="-0.249977111117893"/>
  </sheetPr>
  <dimension ref="C1:G48"/>
  <sheetViews>
    <sheetView workbookViewId="0">
      <selection activeCell="C26" sqref="C26:G48"/>
    </sheetView>
  </sheetViews>
  <sheetFormatPr defaultRowHeight="14.75" x14ac:dyDescent="0.75"/>
  <cols>
    <col min="3" max="3" width="108.2265625" style="10" customWidth="1"/>
    <col min="7" max="7" width="34.90625" customWidth="1"/>
  </cols>
  <sheetData>
    <row r="1" spans="3:7" ht="15.5" thickBot="1" x14ac:dyDescent="0.9">
      <c r="C1" s="20" t="str">
        <f>Product!I1</f>
        <v>// -------------------------------------------------------------------------------</v>
      </c>
    </row>
    <row r="2" spans="3:7" ht="16.75" thickBot="1" x14ac:dyDescent="0.9">
      <c r="C2" s="21" t="str">
        <f>Product!I2</f>
        <v>//  Logical Model</v>
      </c>
      <c r="G2" s="38" t="str">
        <f>Product!B5&amp;".fsh"</f>
        <v>MedicinalProduct.fsh</v>
      </c>
    </row>
    <row r="3" spans="3:7" x14ac:dyDescent="0.75">
      <c r="C3" s="21" t="str">
        <f>Product!I3</f>
        <v>// -------------------------------------------------------------------------------</v>
      </c>
    </row>
    <row r="4" spans="3:7" x14ac:dyDescent="0.75">
      <c r="C4" s="18" t="str">
        <f>Product!I4</f>
        <v>Logical: MedProductEhn</v>
      </c>
    </row>
    <row r="5" spans="3:7" x14ac:dyDescent="0.75">
      <c r="C5" s="18" t="str">
        <f>Product!I5</f>
        <v>Id: MedicinalProduct</v>
      </c>
    </row>
    <row r="6" spans="3:7" x14ac:dyDescent="0.75">
      <c r="C6" s="18" t="str">
        <f>Product!I6</f>
        <v>Title: ##34#A1.4 Identification of the prescribed product##34#</v>
      </c>
    </row>
    <row r="7" spans="3:7" x14ac:dyDescent="0.75">
      <c r="C7" s="18" t="str">
        <f>Product!I7</f>
        <v>Description:  ##334#Identification of the prescribed product. Section A1.4 of the eHN guideline##334#</v>
      </c>
    </row>
    <row r="8" spans="3:7" ht="29.5" x14ac:dyDescent="0.75">
      <c r="C8" s="10" t="str">
        <f>IF(Product!I8="*  ..  ##34###34# ##334###334#","//--- END",Product!I8)</f>
        <v>* name 0..* string ##34#A.1.4.1 Name of the medicinal product##34# ##334#Brand name of the authorised medicinal product.
It has to be noted, that according to Implementing Directive 2012/52/EU additional requirements may apply.
[not applicable for generic prescriptions]##334#</v>
      </c>
    </row>
    <row r="9" spans="3:7" ht="44.25" x14ac:dyDescent="0.75">
      <c r="C9" s="10" t="str">
        <f>IF(Product!I9="*  ..  ##34###34# ##334###334#","//--- END",Product!I9)</f>
        <v>* mpid 0..* Identifier ##34#A.1.4.2 Identifier of the medicinal product##34# ##334#Identifier of a medicinal product refers to the product inside the package, not the packaged item as such. It could be MPID according to ISO 11615, EMA PMS ID and/or a national identifier.
[not applicable for generic prescriptions]
 - Preferred system(s): EMA PMS##334#</v>
      </c>
    </row>
    <row r="10" spans="3:7" ht="44.25" x14ac:dyDescent="0.75">
      <c r="C10" s="10" t="str">
        <f>IF(Product!I10="*  ..  ##34###34# ##334###334#","//--- END",Product!I10)</f>
        <v>* phpid 0..* Identifier ##34#A.1.4.2.1 Identifier(s) of the pharmaceutical product##34# ##334#Identifier of a pharmaceutical product refers to unique PhPID according to ISO 11616. This could be a part of a description of a specific medicinal product or an attribute of a generic prescription.
[not applicable for generic prescriptions]
 - Preferred system(s): EMA PMS##334#</v>
      </c>
      <c r="E10" t="s">
        <v>258</v>
      </c>
    </row>
    <row r="11" spans="3:7" ht="73.75" x14ac:dyDescent="0.75">
      <c r="C11" s="10" t="str">
        <f>IF(Product!I11="*  ..  ##34###34# ##334###334#","//--- END",Product!I11)</f>
        <v>* pcid 0..* Identifier ##34#A.1.4.2.2 Identifier(s) of the packaged medicinal product##34# ##334#Identifier of a packaged medicinal product refers to a specific pack size of a specific product. It could be PCID according to ISO 11615 and/or its national equivalent.
[not applicable for generic prescriptions]
 - Preferred system(s): EMA PMS##334#</v>
      </c>
    </row>
    <row r="12" spans="3:7" ht="44.25" x14ac:dyDescent="0.75">
      <c r="C12" s="10" t="str">
        <f>IF(Product!I12="*  ..  ##34###34# ##334###334#","//--- END",Product!I12)</f>
        <v>* marketingAuthHolder 0..1 Organization ##34#A.1.4.3 Marketing authorisation holder##34# ##334#Organisation that holds the marketing authorisation of the prescribed product.
[not applicable for generic prescriptions]##334#</v>
      </c>
    </row>
    <row r="13" spans="3:7" ht="44.25" x14ac:dyDescent="0.75">
      <c r="C13" s="10" t="str">
        <f>IF(Product!I13="*  ..  ##34###34# ##334###334#","//--- END",Product!I13)</f>
        <v>* activeSubstance 0..* CodeableConcept ##34#A.1.4.4 Active substance(s)##34# ##334#All active substances according to ISO 11238. Referred to by "common name" in implementing directive 2012/52/EU. 
 - Preferred system(s): EMA SMS##334#</v>
      </c>
    </row>
    <row r="14" spans="3:7" ht="44.25" x14ac:dyDescent="0.75">
      <c r="C14" s="10" t="str">
        <f>IF(Product!I14="*  ..  ##34###34# ##334###334#","//--- END",Product!I14)</f>
        <v>* strength 0..* Ratio ##34#A.1.4.4.1 Strength of the active substance(s)##34# ##334#Presentation and/or concentration strength of the active substances. In addition, reference strength could be provided (Article 1 of Directive 2001/83/EC).
 - Preferred system(s): UCUM; EDQM##334#</v>
      </c>
    </row>
    <row r="15" spans="3:7" ht="29.5" x14ac:dyDescent="0.75">
      <c r="C15" s="10" t="str">
        <f>IF(Product!I15="*  ..  ##34###34# ##334###334#","//--- END",Product!I15)</f>
        <v>* classification 0..* CodeableConcept ##34#A.1.4.5 Product classification ##34# ##334#WHO ATC code of the product 
 - Preferred system(s): ATC##334#</v>
      </c>
    </row>
    <row r="16" spans="3:7" ht="103.25" x14ac:dyDescent="0.75">
      <c r="C16" s="10" t="str">
        <f>IF(Product!I16="*  ..  ##34###34# ##334###334#","//--- END",Product!I16)</f>
        <v>* doseForm 0..* CodeableConcept ##34#A.1.4.6 Pharmaceutical dose form(s)##34# ##334#Dose form of a product could be either authorised dose form (includes EDQM combination pack dose forms), administrable dose form or manufactured item dose form. It must be made clear which type of dose forms are provided. For example, for the same product several different dose forms can be provided: ‘powder and solvent for solution for injection’ as authorised dose form, ‘solution for injection’ as administrable dose form, and ‘powder’ and ‘solvent’ as the dose forms for the manufactured items in the inner packaging.
Referred to by "pharmaceutical formulation" in implementing directive 2012/52/EU.
 - Preferred system(s): EDQM##334#</v>
      </c>
    </row>
    <row r="17" spans="3:3" ht="59" x14ac:dyDescent="0.75">
      <c r="C17" s="10" t="str">
        <f>IF(Product!I17="*  ..  ##34###34# ##334###334#","//--- END",Product!I17)</f>
        <v>* unitOfPresentation 0..* CodeableConcept ##34#A.1.4.7 Unit of presentation(s)##34# ##334#Unit of presentation is used as a unit when describing the strength, but according to ISO IDMP it is also a separate attribute of the pharmaceutical product and manufactured item.
 - Preferred system(s): EDQM##334#</v>
      </c>
    </row>
    <row r="18" spans="3:3" ht="44.25" x14ac:dyDescent="0.75">
      <c r="C18" s="10" t="str">
        <f>IF(Product!I18="*  ..  ##34###34# ##334###334#","//--- END",Product!I18)</f>
        <v>* packageType 0..* CodeableConcept ##34#A.1.4.8 Package type##34# ##334#Type of the container, Examples: bottle, blister, box
 - Preferred system(s): EDQM##334#</v>
      </c>
    </row>
    <row r="19" spans="3:3" ht="88.5" x14ac:dyDescent="0.75">
      <c r="C19" s="10" t="str">
        <f>IF(Product!I19="*  ..  ##34###34# ##334###334#","//--- END",Product!I19)</f>
        <v>* PackageSize 0..* BackboneElement ##34#A.1.4.9 Pack size##34# ##334#Typically, the pack size is the number of unit of presentations in the package. 
It could also be presented using units of measurement (ml, g). In some cases, there is a need to refine the package size that it describes the amounts of different manufactured items in more than one inner packages. However, the overall amount of a prescribed product must be calculable from the pack size description.
 - Preferred system(s): UCUM; EDQM##334#</v>
      </c>
    </row>
    <row r="20" spans="3:3" x14ac:dyDescent="0.75">
      <c r="C20" s="10" t="str">
        <f>IF(Product!I20="*  ..  ##34###34# ##334###334#","//--- END",Product!I20)</f>
        <v>//--- END</v>
      </c>
    </row>
    <row r="21" spans="3:3" x14ac:dyDescent="0.75">
      <c r="C21" s="10" t="str">
        <f>IF(Product!I21="*  ..  ##34###34# ##334###334#","//--- END",Product!I21)</f>
        <v>//--- END</v>
      </c>
    </row>
    <row r="22" spans="3:3" x14ac:dyDescent="0.75">
      <c r="C22" s="10" t="str">
        <f>IF(Product!I22="*  ..  ##34###34# ##334###334#","//--- END",Product!I22)</f>
        <v>//--- END</v>
      </c>
    </row>
    <row r="23" spans="3:3" x14ac:dyDescent="0.75">
      <c r="C23" s="10" t="str">
        <f>IF(Product!I23="*  ..  ##34###34# ##334###334#","//--- END",Product!I23)</f>
        <v>//--- END</v>
      </c>
    </row>
    <row r="24" spans="3:3" x14ac:dyDescent="0.75">
      <c r="C24" s="10" t="str">
        <f>IF(Product!I24="*  ..  ##34###34# ##334###334#","//--- END",Product!I24)</f>
        <v>//--- END</v>
      </c>
    </row>
    <row r="25" spans="3:3" x14ac:dyDescent="0.75">
      <c r="C25" s="10" t="str">
        <f>IF(Product!I25="*  ..  ##34###34# ##334###334#","//--- END",Product!I25)</f>
        <v>//--- END</v>
      </c>
    </row>
    <row r="48" spans="7:7" x14ac:dyDescent="0.75">
      <c r="G48"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9009" r:id="rId3"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1B90E-A3B0-4BD6-B9D0-436AC94222AB}">
  <sheetPr codeName="Foglio69">
    <tabColor theme="0" tint="-0.499984740745262"/>
  </sheetPr>
  <dimension ref="A1:S193"/>
  <sheetViews>
    <sheetView workbookViewId="0"/>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C1" s="64" t="s">
        <v>491</v>
      </c>
    </row>
    <row r="2" spans="1:19" ht="15.5" thickBot="1" x14ac:dyDescent="0.9"/>
    <row r="3" spans="1:19" ht="15.5" thickBot="1" x14ac:dyDescent="0.9">
      <c r="B3" s="46" t="s">
        <v>18</v>
      </c>
      <c r="C3" s="37" t="s">
        <v>527</v>
      </c>
      <c r="D3" s="46" t="s">
        <v>316</v>
      </c>
      <c r="E3" s="94" t="str">
        <f>C1&amp;eP!B5</f>
        <v>http://hl7.eu/fhir/ig/xpandh-mpd/StructureDefinition/Prescription</v>
      </c>
      <c r="F3" s="94"/>
      <c r="G3" s="94"/>
    </row>
    <row r="4" spans="1:19" x14ac:dyDescent="0.75">
      <c r="B4" s="46" t="s">
        <v>17</v>
      </c>
      <c r="C4" s="37" t="s">
        <v>521</v>
      </c>
      <c r="D4" s="46" t="s">
        <v>317</v>
      </c>
      <c r="E4" s="95" t="str">
        <f>C6&amp;"/StructureDefinition/"&amp;C7</f>
        <v>http://hl7.eu/fhir/ig/xpandh-mpd//StructureDefinition/Medication-eu-xpandh</v>
      </c>
      <c r="F4" s="94"/>
      <c r="G4" s="94"/>
    </row>
    <row r="5" spans="1:19" x14ac:dyDescent="0.75">
      <c r="B5" s="46" t="s">
        <v>13</v>
      </c>
      <c r="C5" s="8" t="s">
        <v>528</v>
      </c>
      <c r="D5" s="46"/>
      <c r="E5" s="8"/>
    </row>
    <row r="6" spans="1:19" x14ac:dyDescent="0.75">
      <c r="B6" s="46" t="s">
        <v>522</v>
      </c>
      <c r="C6" s="64" t="s">
        <v>525</v>
      </c>
      <c r="D6" s="46" t="s">
        <v>314</v>
      </c>
      <c r="E6" s="94" t="str">
        <f>E3</f>
        <v>http://hl7.eu/fhir/ig/xpandh-mpd/StructureDefinition/Prescription</v>
      </c>
      <c r="F6" s="94"/>
      <c r="G6" s="94"/>
    </row>
    <row r="7" spans="1:19" x14ac:dyDescent="0.75">
      <c r="B7" s="46" t="s">
        <v>523</v>
      </c>
      <c r="C7" s="53" t="s">
        <v>529</v>
      </c>
      <c r="D7" s="46" t="s">
        <v>315</v>
      </c>
      <c r="E7" s="95" t="str">
        <f>E4</f>
        <v>http://hl7.eu/fhir/ig/xpandh-mpd//StructureDefinition/Medication-eu-xpandh</v>
      </c>
      <c r="F7" s="94"/>
      <c r="G7" s="94"/>
    </row>
    <row r="8" spans="1:19" ht="44.25" x14ac:dyDescent="0.75">
      <c r="B8" s="46" t="s">
        <v>311</v>
      </c>
      <c r="C8" s="8" t="s">
        <v>530</v>
      </c>
      <c r="D8" s="46"/>
      <c r="E8"/>
      <c r="I8" s="10" t="s">
        <v>290</v>
      </c>
      <c r="J8" s="10" t="s">
        <v>291</v>
      </c>
      <c r="K8" s="10" t="s">
        <v>292</v>
      </c>
      <c r="L8" s="10" t="s">
        <v>293</v>
      </c>
      <c r="M8" s="7" t="s">
        <v>294</v>
      </c>
      <c r="P8" s="42" t="s">
        <v>295</v>
      </c>
      <c r="Q8" s="42">
        <v>6</v>
      </c>
    </row>
    <row r="9" spans="1:19" ht="29.5" x14ac:dyDescent="0.75">
      <c r="B9" s="46" t="s">
        <v>312</v>
      </c>
      <c r="C9" s="1" t="s">
        <v>531</v>
      </c>
      <c r="D9" s="46"/>
      <c r="E9"/>
      <c r="I9" s="10"/>
      <c r="J9" s="7"/>
      <c r="K9" s="7"/>
      <c r="L9" s="7"/>
      <c r="M9" s="7"/>
    </row>
    <row r="10" spans="1:19" x14ac:dyDescent="0.75">
      <c r="B10" s="46"/>
      <c r="D10" s="46"/>
      <c r="E10"/>
      <c r="I10" s="10"/>
      <c r="J10" s="7"/>
      <c r="K10" s="7"/>
      <c r="L10" s="7"/>
      <c r="M10" s="7"/>
    </row>
    <row r="11" spans="1:19" x14ac:dyDescent="0.75">
      <c r="E11" s="8"/>
      <c r="I11" s="18" t="s">
        <v>296</v>
      </c>
      <c r="J11" s="43" t="s">
        <v>297</v>
      </c>
      <c r="K11" s="18" t="s">
        <v>298</v>
      </c>
      <c r="L11" s="43" t="s">
        <v>299</v>
      </c>
      <c r="M11" s="44" t="s">
        <v>300</v>
      </c>
      <c r="N11" s="47" t="s">
        <v>288</v>
      </c>
    </row>
    <row r="12" spans="1:19" x14ac:dyDescent="0.75">
      <c r="E12" s="45"/>
      <c r="I12" s="10"/>
      <c r="J12" s="7"/>
      <c r="K12" s="7"/>
      <c r="L12" s="7"/>
      <c r="M12" s="7"/>
    </row>
    <row r="13" spans="1:19" x14ac:dyDescent="0.75">
      <c r="D13" s="10"/>
      <c r="E13" s="7"/>
      <c r="F13" s="44" t="s">
        <v>300</v>
      </c>
      <c r="G13" s="47" t="s">
        <v>288</v>
      </c>
      <c r="H13" s="47"/>
      <c r="I13" s="10"/>
      <c r="J13" s="7"/>
      <c r="K13" s="44"/>
      <c r="L13" s="44"/>
      <c r="M13" s="44"/>
      <c r="N13" s="47"/>
    </row>
    <row r="14" spans="1:19" x14ac:dyDescent="0.75">
      <c r="A14" s="17"/>
      <c r="B14" s="6" t="str">
        <f>Product!B5</f>
        <v>MedicinalProduct</v>
      </c>
      <c r="C14" s="7"/>
      <c r="D14" s="4" t="s">
        <v>520</v>
      </c>
      <c r="E14" s="6"/>
      <c r="F14" s="7"/>
      <c r="G14" s="7"/>
      <c r="I14" s="10"/>
      <c r="J14" s="7"/>
      <c r="K14" s="7"/>
      <c r="L14" s="7"/>
      <c r="M14" s="44"/>
      <c r="N14" s="47"/>
    </row>
    <row r="15" spans="1:19" ht="44.25" x14ac:dyDescent="0.75">
      <c r="A15" s="17"/>
      <c r="B15" s="7" t="str">
        <f>Product!B8</f>
        <v>name</v>
      </c>
      <c r="C15" s="7" t="str">
        <f>Product!C8</f>
        <v>A.1.4.1 Name of the medicinal product</v>
      </c>
      <c r="D15" s="10" t="s">
        <v>532</v>
      </c>
      <c r="E15" s="40"/>
      <c r="F15" s="48" t="s">
        <v>302</v>
      </c>
      <c r="G15" s="65" t="s">
        <v>533</v>
      </c>
      <c r="H15" s="49"/>
      <c r="I15" s="10" t="str">
        <f>"* group[=].element[+].code = #"&amp;$B$14&amp;"."&amp;B15</f>
        <v>* group[=].element[+].code = #MedicinalProduct.name</v>
      </c>
      <c r="J15" s="10" t="str">
        <f t="shared" ref="J15:J16" si="0">"* group[=].element[=].display = ##34#"&amp;C15&amp;"##34#"</f>
        <v>* group[=].element[=].display = ##34#A.1.4.1 Name of the medicinal product##34#</v>
      </c>
      <c r="K15" s="10" t="str">
        <f>IF(F15="unmatched","//-- unmatched",IF(D15="","* group[=].element[=].target.code = #"&amp;$D$14,"* group[=].element[=].target.code = #"&amp;$D$14&amp;"."&amp;D15))</f>
        <v>* group[=].element[=].target.code = #Medication.code.text</v>
      </c>
      <c r="L15" s="10" t="str">
        <f t="shared" ref="L15:L16" si="1">IF(F15="unmatched","//-- unmatched","* group[=].element[=].target.display = ##34#"&amp;E15&amp;"##34#")</f>
        <v>* group[=].element[=].target.display = ##34###34#</v>
      </c>
      <c r="M15" s="10" t="str">
        <f t="shared" ref="M15:M16" si="2">"* group[=].element[=].target.equivalence = #"&amp;F15</f>
        <v>* group[=].element[=].target.equivalence = #relatedto</v>
      </c>
      <c r="N15" s="4" t="str">
        <f t="shared" ref="N15:N16" si="3">IF(G15&lt;&gt;"",CONCATENATE("* group[=].element[=].target.comment = ","##34#",G15,"##34#"),"")</f>
        <v>* group[=].element[=].target.comment = ##34#to be checked##34#</v>
      </c>
      <c r="P15" s="7">
        <v>1</v>
      </c>
      <c r="Q15" s="7">
        <f>IF(MOD(P15,$Q$8)=0,P15/$Q$8-1,INT(P15/$Q$8))</f>
        <v>0</v>
      </c>
      <c r="R15" s="7">
        <f>IF(MOD(P15,$Q$8)=0,$Q$8,MOD(P15,$Q$8))</f>
        <v>1</v>
      </c>
      <c r="S15" s="10" t="str" cm="1">
        <f t="array" ref="S15">INDEX('Product-ConceptMap'!$I$15:$N$273,Q15+1,R15)</f>
        <v>* group[=].element[+].code = #MedicinalProduct.name</v>
      </c>
    </row>
    <row r="16" spans="1:19" ht="73.75" x14ac:dyDescent="0.75">
      <c r="A16" s="17"/>
      <c r="B16" s="7" t="str">
        <f>Product!B9</f>
        <v>mpid</v>
      </c>
      <c r="C16" s="7" t="str">
        <f>Product!C9</f>
        <v>A.1.4.2 Identifier of the medicinal product</v>
      </c>
      <c r="D16" s="7" t="s">
        <v>534</v>
      </c>
      <c r="E16" s="7"/>
      <c r="F16" s="48" t="s">
        <v>302</v>
      </c>
      <c r="G16" s="65" t="s">
        <v>551</v>
      </c>
      <c r="H16" s="49"/>
      <c r="I16" s="10" t="str">
        <f t="shared" ref="I16" si="4">"* group[=].element[+].code = #"&amp;$B$14&amp;"."&amp;B16</f>
        <v>* group[=].element[+].code = #MedicinalProduct.mpid</v>
      </c>
      <c r="J16" s="10" t="str">
        <f t="shared" si="0"/>
        <v>* group[=].element[=].display = ##34#A.1.4.2 Identifier of the medicinal product##34#</v>
      </c>
      <c r="K16" s="10" t="str">
        <f t="shared" ref="K16" si="5">IF(F16="unmatched","//-- unmatched",IF(D16="","* group[=].element[=].target.code = #"&amp;$D$14,"* group[=].element[=].target.code = #"&amp;$D$14&amp;"."&amp;D16))</f>
        <v>* group[=].element[=].target.code = #Medication.code.coding</v>
      </c>
      <c r="L16" s="10" t="str">
        <f t="shared" si="1"/>
        <v>* group[=].element[=].target.display = ##34###34#</v>
      </c>
      <c r="M16" s="10" t="str">
        <f t="shared" si="2"/>
        <v>* group[=].element[=].target.equivalence = #relatedto</v>
      </c>
      <c r="N16" s="10" t="str">
        <f t="shared" si="3"/>
        <v>* group[=].element[=].target.comment = ##34#How it is implemented now in the IPS. TBD##34#</v>
      </c>
      <c r="P16" s="7">
        <v>2</v>
      </c>
      <c r="Q16" s="7">
        <f t="shared" ref="Q16:Q112" si="6">IF(MOD(P16,$Q$8)=0,P16/$Q$8-1,INT(P16/$Q$8))</f>
        <v>0</v>
      </c>
      <c r="R16" s="7">
        <f t="shared" ref="R16:R22" si="7">IF(MOD(P16,$Q$8)=0,$Q$8,MOD(P16,$Q$8))</f>
        <v>2</v>
      </c>
      <c r="S16" s="10" t="str" cm="1">
        <f t="array" ref="S16">INDEX('Product-ConceptMap'!$I$15:$N$273,Q16+1,R16)</f>
        <v>* group[=].element[=].display = ##34#A.1.4.1 Name of the medicinal product##34#</v>
      </c>
    </row>
    <row r="17" spans="1:19" ht="73.75" x14ac:dyDescent="0.75">
      <c r="A17" s="17"/>
      <c r="B17" s="7" t="str">
        <f>Product!B10</f>
        <v>phpid</v>
      </c>
      <c r="C17" s="7" t="str">
        <f>Product!C10</f>
        <v>A.1.4.2.1 Identifier(s) of the pharmaceutical product</v>
      </c>
      <c r="D17" s="7" t="s">
        <v>534</v>
      </c>
      <c r="E17" s="7"/>
      <c r="F17" s="48" t="s">
        <v>302</v>
      </c>
      <c r="G17" s="65" t="s">
        <v>551</v>
      </c>
      <c r="H17" s="49"/>
      <c r="I17" s="10" t="str">
        <f t="shared" ref="I17:I29" si="8">"* group[=].element[+].code = #"&amp;$B$14&amp;"."&amp;B17</f>
        <v>* group[=].element[+].code = #MedicinalProduct.phpid</v>
      </c>
      <c r="J17" s="10" t="str">
        <f t="shared" ref="J17:J29" si="9">"* group[=].element[=].display = ##34#"&amp;C17&amp;"##34#"</f>
        <v>* group[=].element[=].display = ##34#A.1.4.2.1 Identifier(s) of the pharmaceutical product##34#</v>
      </c>
      <c r="K17" s="10" t="str">
        <f t="shared" ref="K17:K29" si="10">IF(F17="unmatched","//-- unmatched",IF(D17="","* group[=].element[=].target.code = #"&amp;$D$14,"* group[=].element[=].target.code = #"&amp;$D$14&amp;"."&amp;D17))</f>
        <v>* group[=].element[=].target.code = #Medication.code.coding</v>
      </c>
      <c r="L17" s="10" t="str">
        <f t="shared" ref="L17:L29" si="11">IF(F17="unmatched","//-- unmatched","* group[=].element[=].target.display = ##34#"&amp;E17&amp;"##34#")</f>
        <v>* group[=].element[=].target.display = ##34###34#</v>
      </c>
      <c r="M17" s="10" t="str">
        <f t="shared" ref="M17:M29" si="12">"* group[=].element[=].target.equivalence = #"&amp;F17</f>
        <v>* group[=].element[=].target.equivalence = #relatedto</v>
      </c>
      <c r="N17" s="10" t="str">
        <f t="shared" ref="N17:N29" si="13">IF(G17&lt;&gt;"",CONCATENATE("* group[=].element[=].target.comment = ","##34#",G17,"##34#"),"")</f>
        <v>* group[=].element[=].target.comment = ##34#How it is implemented now in the IPS. TBD##34#</v>
      </c>
      <c r="P17" s="7">
        <v>3</v>
      </c>
      <c r="Q17" s="7">
        <f t="shared" si="6"/>
        <v>0</v>
      </c>
      <c r="R17" s="7">
        <f t="shared" si="7"/>
        <v>3</v>
      </c>
      <c r="S17" s="10" t="str" cm="1">
        <f t="array" ref="S17">INDEX('Product-ConceptMap'!$I$15:$N$273,Q17+1,R17)</f>
        <v>* group[=].element[=].target.code = #Medication.code.text</v>
      </c>
    </row>
    <row r="18" spans="1:19" ht="73.75" x14ac:dyDescent="0.75">
      <c r="A18" s="17"/>
      <c r="B18" s="7" t="str">
        <f>Product!B11</f>
        <v>pcid</v>
      </c>
      <c r="C18" s="7" t="str">
        <f>Product!C11</f>
        <v>A.1.4.2.2 Identifier(s) of the packaged medicinal product</v>
      </c>
      <c r="D18" s="7" t="s">
        <v>534</v>
      </c>
      <c r="E18" s="7"/>
      <c r="F18" s="48" t="s">
        <v>302</v>
      </c>
      <c r="G18" s="65" t="s">
        <v>551</v>
      </c>
      <c r="H18" s="49"/>
      <c r="I18" s="10" t="str">
        <f t="shared" si="8"/>
        <v>* group[=].element[+].code = #MedicinalProduct.pcid</v>
      </c>
      <c r="J18" s="10" t="str">
        <f t="shared" si="9"/>
        <v>* group[=].element[=].display = ##34#A.1.4.2.2 Identifier(s) of the packaged medicinal product##34#</v>
      </c>
      <c r="K18" s="10" t="str">
        <f t="shared" si="10"/>
        <v>* group[=].element[=].target.code = #Medication.code.coding</v>
      </c>
      <c r="L18" s="10" t="str">
        <f t="shared" si="11"/>
        <v>* group[=].element[=].target.display = ##34###34#</v>
      </c>
      <c r="M18" s="10" t="str">
        <f t="shared" si="12"/>
        <v>* group[=].element[=].target.equivalence = #relatedto</v>
      </c>
      <c r="N18" s="10" t="str">
        <f t="shared" si="13"/>
        <v>* group[=].element[=].target.comment = ##34#How it is implemented now in the IPS. TBD##34#</v>
      </c>
      <c r="P18" s="7">
        <v>4</v>
      </c>
      <c r="Q18" s="7">
        <f t="shared" si="6"/>
        <v>0</v>
      </c>
      <c r="R18" s="7">
        <f t="shared" si="7"/>
        <v>4</v>
      </c>
      <c r="S18" s="10" t="str" cm="1">
        <f t="array" ref="S18">INDEX('Product-ConceptMap'!$I$15:$N$273,Q18+1,R18)</f>
        <v>* group[=].element[=].target.display = ##34###34#</v>
      </c>
    </row>
    <row r="19" spans="1:19" ht="44.25" x14ac:dyDescent="0.75">
      <c r="A19" s="17"/>
      <c r="B19" s="7" t="str">
        <f>Product!B12</f>
        <v>marketingAuthHolder</v>
      </c>
      <c r="C19" s="7" t="str">
        <f>Product!C12</f>
        <v>A.1.4.3 Marketing authorisation holder</v>
      </c>
      <c r="D19" s="7" t="s">
        <v>536</v>
      </c>
      <c r="E19" s="7"/>
      <c r="F19" s="48" t="s">
        <v>301</v>
      </c>
      <c r="G19" s="48"/>
      <c r="H19" s="49"/>
      <c r="I19" s="10" t="str">
        <f t="shared" si="8"/>
        <v>* group[=].element[+].code = #MedicinalProduct.marketingAuthHolder</v>
      </c>
      <c r="J19" s="10" t="str">
        <f t="shared" si="9"/>
        <v>* group[=].element[=].display = ##34#A.1.4.3 Marketing authorisation holder##34#</v>
      </c>
      <c r="K19" s="10" t="str">
        <f t="shared" si="10"/>
        <v>* group[=].element[=].target.code = #Medication.manufacturer</v>
      </c>
      <c r="L19" s="10" t="str">
        <f t="shared" si="11"/>
        <v>* group[=].element[=].target.display = ##34###34#</v>
      </c>
      <c r="M19" s="10" t="str">
        <f t="shared" si="12"/>
        <v>* group[=].element[=].target.equivalence = #equivalent</v>
      </c>
      <c r="N19" s="10" t="str">
        <f t="shared" si="13"/>
        <v/>
      </c>
      <c r="P19" s="7">
        <v>5</v>
      </c>
      <c r="Q19" s="7">
        <f t="shared" si="6"/>
        <v>0</v>
      </c>
      <c r="R19" s="7">
        <f t="shared" si="7"/>
        <v>5</v>
      </c>
      <c r="S19" s="10" t="str" cm="1">
        <f t="array" ref="S19">INDEX('Product-ConceptMap'!$I$15:$N$273,Q19+1,R19)</f>
        <v>* group[=].element[=].target.equivalence = #relatedto</v>
      </c>
    </row>
    <row r="20" spans="1:19" ht="59" x14ac:dyDescent="0.75">
      <c r="A20" s="17"/>
      <c r="B20" s="7" t="str">
        <f>Product!B13</f>
        <v>activeSubstance</v>
      </c>
      <c r="C20" s="7" t="str">
        <f>Product!C13</f>
        <v>A.1.4.4 Active substance(s)</v>
      </c>
      <c r="D20" s="7" t="s">
        <v>542</v>
      </c>
      <c r="E20" s="7"/>
      <c r="F20" s="48" t="s">
        <v>301</v>
      </c>
      <c r="G20" s="48" t="s">
        <v>543</v>
      </c>
      <c r="H20" s="49"/>
      <c r="I20" s="10" t="str">
        <f t="shared" si="8"/>
        <v>* group[=].element[+].code = #MedicinalProduct.activeSubstance</v>
      </c>
      <c r="J20" s="10" t="str">
        <f t="shared" si="9"/>
        <v>* group[=].element[=].display = ##34#A.1.4.4 Active substance(s)##34#</v>
      </c>
      <c r="K20" s="10" t="str">
        <f t="shared" si="10"/>
        <v>* group[=].element[=].target.code = #Medication.ingredient</v>
      </c>
      <c r="L20" s="10" t="str">
        <f t="shared" si="11"/>
        <v>* group[=].element[=].target.display = ##34###34#</v>
      </c>
      <c r="M20" s="10" t="str">
        <f t="shared" si="12"/>
        <v>* group[=].element[=].target.equivalence = #equivalent</v>
      </c>
      <c r="N20" s="10" t="str">
        <f t="shared" si="13"/>
        <v>* group[=].element[=].target.comment = ##34#where isActitve = 'true'##34#</v>
      </c>
      <c r="P20" s="7">
        <v>6</v>
      </c>
      <c r="Q20" s="7">
        <f t="shared" si="6"/>
        <v>0</v>
      </c>
      <c r="R20" s="7">
        <f t="shared" si="7"/>
        <v>6</v>
      </c>
      <c r="S20" s="10" t="str" cm="1">
        <f t="array" ref="S20">INDEX('Product-ConceptMap'!$I$15:$N$273,Q20+1,R20)</f>
        <v>* group[=].element[=].target.comment = ##34#to be checked##34#</v>
      </c>
    </row>
    <row r="21" spans="1:19" ht="88.5" x14ac:dyDescent="0.75">
      <c r="A21" s="17"/>
      <c r="B21" s="7" t="str">
        <f>Product!B14</f>
        <v>strength</v>
      </c>
      <c r="C21" s="7" t="str">
        <f>Product!C14</f>
        <v>A.1.4.4.1 Strength of the active substance(s)</v>
      </c>
      <c r="D21" s="10" t="s">
        <v>540</v>
      </c>
      <c r="E21" s="7"/>
      <c r="F21" s="48" t="s">
        <v>302</v>
      </c>
      <c r="G21" s="66" t="s">
        <v>541</v>
      </c>
      <c r="H21" s="49"/>
      <c r="I21" s="10" t="str">
        <f t="shared" si="8"/>
        <v>* group[=].element[+].code = #MedicinalProduct.strength</v>
      </c>
      <c r="J21" s="10" t="str">
        <f t="shared" si="9"/>
        <v>* group[=].element[=].display = ##34#A.1.4.4.1 Strength of the active substance(s)##34#</v>
      </c>
      <c r="K21" s="10" t="str">
        <f t="shared" si="10"/>
        <v>* group[=].element[=].target.code = #Medication.ingredient.strength</v>
      </c>
      <c r="L21" s="10" t="str">
        <f t="shared" si="11"/>
        <v>* group[=].element[=].target.display = ##34###34#</v>
      </c>
      <c r="M21" s="10" t="str">
        <f t="shared" si="12"/>
        <v>* group[=].element[=].target.equivalence = #relatedto</v>
      </c>
      <c r="N21" s="10" t="str">
        <f t="shared" si="13"/>
        <v>* group[=].element[=].target.comment = ##34#only one kind of strength is provided.
Clarify how to provide ingredient and strength as text##34#</v>
      </c>
      <c r="P21" s="7">
        <v>7</v>
      </c>
      <c r="Q21" s="7">
        <f t="shared" si="6"/>
        <v>1</v>
      </c>
      <c r="R21" s="7">
        <f t="shared" si="7"/>
        <v>1</v>
      </c>
      <c r="S21" s="10" t="str" cm="1">
        <f t="array" ref="S21">INDEX('Product-ConceptMap'!$I$15:$N$273,Q21+1,R21)</f>
        <v>* group[=].element[+].code = #MedicinalProduct.mpid</v>
      </c>
    </row>
    <row r="22" spans="1:19" ht="88.5" x14ac:dyDescent="0.75">
      <c r="A22" s="17"/>
      <c r="B22" s="7" t="str">
        <f>Product!B15</f>
        <v>classification</v>
      </c>
      <c r="C22" s="7" t="str">
        <f>Product!C15</f>
        <v xml:space="preserve">A.1.4.5 Product classification </v>
      </c>
      <c r="D22" s="10" t="s">
        <v>546</v>
      </c>
      <c r="E22" s="7"/>
      <c r="F22" s="48" t="s">
        <v>302</v>
      </c>
      <c r="G22" s="66" t="s">
        <v>550</v>
      </c>
      <c r="H22" s="49"/>
      <c r="I22" s="10" t="str">
        <f t="shared" si="8"/>
        <v>* group[=].element[+].code = #MedicinalProduct.classification</v>
      </c>
      <c r="J22" s="10" t="str">
        <f t="shared" si="9"/>
        <v>* group[=].element[=].display = ##34#A.1.4.5 Product classification ##34#</v>
      </c>
      <c r="K22" s="10" t="str">
        <f t="shared" si="10"/>
        <v>* group[=].element[=].target.code = #Medication.extension(definition).ValueReference</v>
      </c>
      <c r="L22" s="10" t="str">
        <f t="shared" si="11"/>
        <v>* group[=].element[=].target.display = ##34###34#</v>
      </c>
      <c r="M22" s="10" t="str">
        <f t="shared" si="12"/>
        <v>* group[=].element[=].target.equivalence = #relatedto</v>
      </c>
      <c r="N22" s="10" t="str">
        <f t="shared" si="13"/>
        <v>* group[=].element[=].target.comment = ##34#MedicationKnowledge.medicineClassification.classification.
Type to be defined##34#</v>
      </c>
      <c r="P22" s="7">
        <v>8</v>
      </c>
      <c r="Q22" s="7">
        <f t="shared" si="6"/>
        <v>1</v>
      </c>
      <c r="R22" s="7">
        <f t="shared" si="7"/>
        <v>2</v>
      </c>
      <c r="S22" s="10" t="str" cm="1">
        <f t="array" ref="S22">INDEX('Product-ConceptMap'!$I$15:$N$273,Q22+1,R22)</f>
        <v>* group[=].element[=].display = ##34#A.1.4.2 Identifier of the medicinal product##34#</v>
      </c>
    </row>
    <row r="23" spans="1:19" ht="73.75" x14ac:dyDescent="0.75">
      <c r="A23" s="17"/>
      <c r="B23" s="7" t="str">
        <f>Product!B15</f>
        <v>classification</v>
      </c>
      <c r="C23" s="7" t="str">
        <f>Product!C15</f>
        <v xml:space="preserve">A.1.4.5 Product classification </v>
      </c>
      <c r="D23" s="7" t="s">
        <v>534</v>
      </c>
      <c r="E23" s="7"/>
      <c r="F23" s="48" t="s">
        <v>301</v>
      </c>
      <c r="G23" s="65" t="s">
        <v>535</v>
      </c>
      <c r="H23" s="49"/>
      <c r="I23" s="10" t="str">
        <f t="shared" si="8"/>
        <v>* group[=].element[+].code = #MedicinalProduct.classification</v>
      </c>
      <c r="J23" s="10" t="str">
        <f t="shared" si="9"/>
        <v>* group[=].element[=].display = ##34#A.1.4.5 Product classification ##34#</v>
      </c>
      <c r="K23" s="10" t="str">
        <f t="shared" si="10"/>
        <v>* group[=].element[=].target.code = #Medication.code.coding</v>
      </c>
      <c r="L23" s="10" t="str">
        <f t="shared" si="11"/>
        <v>* group[=].element[=].target.display = ##34###34#</v>
      </c>
      <c r="M23" s="10" t="str">
        <f t="shared" si="12"/>
        <v>* group[=].element[=].target.equivalence = #equivalent</v>
      </c>
      <c r="N23" s="10" t="str">
        <f t="shared" si="13"/>
        <v>* group[=].element[=].target.comment = ##34#How it is implemented now in the IPS##34#</v>
      </c>
      <c r="P23" s="7">
        <v>9</v>
      </c>
      <c r="Q23" s="7">
        <f t="shared" si="6"/>
        <v>1</v>
      </c>
      <c r="R23" s="7">
        <f t="shared" ref="R23:R86" si="14">IF(MOD(P23,$Q$8)=0,$Q$8,MOD(P23,$Q$8))</f>
        <v>3</v>
      </c>
      <c r="S23" s="10" t="str" cm="1">
        <f t="array" ref="S23">INDEX('Product-ConceptMap'!$I$15:$N$273,Q23+1,R23)</f>
        <v>* group[=].element[=].target.code = #Medication.code.coding</v>
      </c>
    </row>
    <row r="24" spans="1:19" ht="44.25" x14ac:dyDescent="0.75">
      <c r="A24" s="17"/>
      <c r="B24" s="7" t="str">
        <f>Product!B16</f>
        <v>doseForm</v>
      </c>
      <c r="C24" s="7" t="str">
        <f>Product!C16</f>
        <v>A.1.4.6 Pharmaceutical dose form(s)</v>
      </c>
      <c r="D24" s="7" t="s">
        <v>537</v>
      </c>
      <c r="E24" s="10"/>
      <c r="F24" s="48" t="s">
        <v>302</v>
      </c>
      <c r="G24" s="48"/>
      <c r="H24" s="49"/>
      <c r="I24" s="10" t="str">
        <f t="shared" si="8"/>
        <v>* group[=].element[+].code = #MedicinalProduct.doseForm</v>
      </c>
      <c r="J24" s="10" t="str">
        <f t="shared" si="9"/>
        <v>* group[=].element[=].display = ##34#A.1.4.6 Pharmaceutical dose form(s)##34#</v>
      </c>
      <c r="K24" s="10" t="str">
        <f t="shared" si="10"/>
        <v>* group[=].element[=].target.code = #Medication.form</v>
      </c>
      <c r="L24" s="10" t="str">
        <f t="shared" si="11"/>
        <v>* group[=].element[=].target.display = ##34###34#</v>
      </c>
      <c r="M24" s="10" t="str">
        <f t="shared" si="12"/>
        <v>* group[=].element[=].target.equivalence = #relatedto</v>
      </c>
      <c r="N24" s="10" t="str">
        <f t="shared" si="13"/>
        <v/>
      </c>
      <c r="P24" s="7">
        <v>10</v>
      </c>
      <c r="Q24" s="7">
        <f t="shared" si="6"/>
        <v>1</v>
      </c>
      <c r="R24" s="7">
        <f t="shared" si="14"/>
        <v>4</v>
      </c>
      <c r="S24" s="10" t="str" cm="1">
        <f t="array" ref="S24">INDEX('Product-ConceptMap'!$I$15:$N$273,Q24+1,R24)</f>
        <v>* group[=].element[=].target.display = ##34###34#</v>
      </c>
    </row>
    <row r="25" spans="1:19" ht="73.75" x14ac:dyDescent="0.75">
      <c r="A25" s="17"/>
      <c r="B25" s="7" t="str">
        <f>Product!B17</f>
        <v>unitOfPresentation</v>
      </c>
      <c r="C25" s="7" t="str">
        <f>Product!C17</f>
        <v>A.1.4.7 Unit of presentation(s)</v>
      </c>
      <c r="D25" s="10" t="s">
        <v>539</v>
      </c>
      <c r="E25" s="10"/>
      <c r="F25" s="48" t="s">
        <v>301</v>
      </c>
      <c r="G25" s="48" t="s">
        <v>538</v>
      </c>
      <c r="H25" s="49"/>
      <c r="I25" s="10" t="str">
        <f t="shared" si="8"/>
        <v>* group[=].element[+].code = #MedicinalProduct.unitOfPresentation</v>
      </c>
      <c r="J25" s="10" t="str">
        <f t="shared" si="9"/>
        <v>* group[=].element[=].display = ##34#A.1.4.7 Unit of presentation(s)##34#</v>
      </c>
      <c r="K25" s="10" t="str">
        <f t="shared" si="10"/>
        <v>* group[=].element[=].target.code = #Medication.ingredient.strength.denominator.code</v>
      </c>
      <c r="L25" s="10" t="str">
        <f t="shared" si="11"/>
        <v>* group[=].element[=].target.display = ##34###34#</v>
      </c>
      <c r="M25" s="10" t="str">
        <f t="shared" si="12"/>
        <v>* group[=].element[=].target.equivalence = #equivalent</v>
      </c>
      <c r="N25" s="10" t="str">
        <f t="shared" si="13"/>
        <v>* group[=].element[=].target.comment = ##34#if it is the presentation strength##34#</v>
      </c>
      <c r="P25" s="7">
        <v>11</v>
      </c>
      <c r="Q25" s="7">
        <f t="shared" si="6"/>
        <v>1</v>
      </c>
      <c r="R25" s="7">
        <f t="shared" si="14"/>
        <v>5</v>
      </c>
      <c r="S25" s="10" t="str" cm="1">
        <f t="array" ref="S25">INDEX('Product-ConceptMap'!$I$15:$N$273,Q25+1,R25)</f>
        <v>* group[=].element[=].target.equivalence = #relatedto</v>
      </c>
    </row>
    <row r="26" spans="1:19" ht="73.75" x14ac:dyDescent="0.75">
      <c r="B26" s="7" t="str">
        <f>Product!B18</f>
        <v>packageType</v>
      </c>
      <c r="C26" s="7" t="str">
        <f>Product!C18</f>
        <v>A.1.4.8 Package type</v>
      </c>
      <c r="D26" s="48" t="s">
        <v>547</v>
      </c>
      <c r="E26" s="10"/>
      <c r="F26" s="48" t="s">
        <v>302</v>
      </c>
      <c r="G26" s="65" t="s">
        <v>549</v>
      </c>
      <c r="H26" s="49"/>
      <c r="I26" s="10" t="str">
        <f t="shared" si="8"/>
        <v>* group[=].element[+].code = #MedicinalProduct.packageType</v>
      </c>
      <c r="J26" s="10" t="str">
        <f t="shared" si="9"/>
        <v>* group[=].element[=].display = ##34#A.1.4.8 Package type##34#</v>
      </c>
      <c r="K26" s="10" t="str">
        <f t="shared" si="10"/>
        <v>* group[=].element[=].target.code = #Medication.contained.packaging.type</v>
      </c>
      <c r="L26" s="10" t="str">
        <f t="shared" si="11"/>
        <v>* group[=].element[=].target.display = ##34###34#</v>
      </c>
      <c r="M26" s="10" t="str">
        <f t="shared" si="12"/>
        <v>* group[=].element[=].target.equivalence = #relatedto</v>
      </c>
      <c r="N26" s="10" t="str">
        <f t="shared" si="13"/>
        <v>* group[=].element[=].target.comment = ##34#if contained##34#</v>
      </c>
      <c r="P26" s="7">
        <v>12</v>
      </c>
      <c r="Q26" s="7">
        <f t="shared" si="6"/>
        <v>1</v>
      </c>
      <c r="R26" s="7">
        <f t="shared" si="14"/>
        <v>6</v>
      </c>
      <c r="S26" s="10" t="str" cm="1">
        <f t="array" ref="S26">INDEX('Product-ConceptMap'!$I$15:$N$273,Q26+1,R26)</f>
        <v>* group[=].element[=].target.comment = ##34#How it is implemented now in the IPS. TBD##34#</v>
      </c>
    </row>
    <row r="27" spans="1:19" ht="73.75" x14ac:dyDescent="0.75">
      <c r="B27" s="7" t="str">
        <f>Product!B19</f>
        <v>PackageSize</v>
      </c>
      <c r="C27" s="7" t="str">
        <f>Product!C19</f>
        <v>A.1.4.9 Pack size</v>
      </c>
      <c r="D27" s="10" t="s">
        <v>548</v>
      </c>
      <c r="E27" s="10"/>
      <c r="F27" s="48" t="s">
        <v>302</v>
      </c>
      <c r="G27" s="65" t="s">
        <v>549</v>
      </c>
      <c r="H27" s="49"/>
      <c r="I27" s="10" t="str">
        <f t="shared" si="8"/>
        <v>* group[=].element[+].code = #MedicinalProduct.PackageSize</v>
      </c>
      <c r="J27" s="10" t="str">
        <f t="shared" si="9"/>
        <v>* group[=].element[=].display = ##34#A.1.4.9 Pack size##34#</v>
      </c>
      <c r="K27" s="10" t="str">
        <f t="shared" si="10"/>
        <v>* group[=].element[=].target.code = #Medication.contained.packaging.quantity</v>
      </c>
      <c r="L27" s="10" t="str">
        <f t="shared" si="11"/>
        <v>* group[=].element[=].target.display = ##34###34#</v>
      </c>
      <c r="M27" s="10" t="str">
        <f t="shared" si="12"/>
        <v>* group[=].element[=].target.equivalence = #relatedto</v>
      </c>
      <c r="N27" s="10" t="str">
        <f t="shared" si="13"/>
        <v>* group[=].element[=].target.comment = ##34#if contained##34#</v>
      </c>
      <c r="P27" s="7">
        <v>13</v>
      </c>
      <c r="Q27" s="7">
        <f t="shared" si="6"/>
        <v>2</v>
      </c>
      <c r="R27" s="7">
        <f t="shared" si="14"/>
        <v>1</v>
      </c>
      <c r="S27" s="10" t="str" cm="1">
        <f t="array" ref="S27">INDEX('Product-ConceptMap'!$I$15:$N$273,Q27+1,R27)</f>
        <v>* group[=].element[+].code = #MedicinalProduct.phpid</v>
      </c>
    </row>
    <row r="28" spans="1:19" ht="73.75" x14ac:dyDescent="0.75">
      <c r="B28" s="7" t="str">
        <f>Product!B18</f>
        <v>packageType</v>
      </c>
      <c r="C28" s="7" t="str">
        <f>Product!C18</f>
        <v>A.1.4.8 Package type</v>
      </c>
      <c r="D28" s="10" t="s">
        <v>546</v>
      </c>
      <c r="E28" s="10"/>
      <c r="F28" s="48" t="s">
        <v>302</v>
      </c>
      <c r="G28" s="65" t="s">
        <v>544</v>
      </c>
      <c r="H28" s="49"/>
      <c r="I28" s="10" t="str">
        <f t="shared" si="8"/>
        <v>* group[=].element[+].code = #MedicinalProduct.packageType</v>
      </c>
      <c r="J28" s="10" t="str">
        <f t="shared" si="9"/>
        <v>* group[=].element[=].display = ##34#A.1.4.8 Package type##34#</v>
      </c>
      <c r="K28" s="10" t="str">
        <f t="shared" si="10"/>
        <v>* group[=].element[=].target.code = #Medication.extension(definition).ValueReference</v>
      </c>
      <c r="L28" s="10" t="str">
        <f t="shared" si="11"/>
        <v>* group[=].element[=].target.display = ##34###34#</v>
      </c>
      <c r="M28" s="10" t="str">
        <f t="shared" si="12"/>
        <v>* group[=].element[=].target.equivalence = #relatedto</v>
      </c>
      <c r="N28" s="10" t="str">
        <f t="shared" si="13"/>
        <v>* group[=].element[=].target.comment = ##34#MedicationKnowledge.packaging.type##34#</v>
      </c>
      <c r="P28" s="7">
        <v>14</v>
      </c>
      <c r="Q28" s="7">
        <f t="shared" si="6"/>
        <v>2</v>
      </c>
      <c r="R28" s="7">
        <f t="shared" si="14"/>
        <v>2</v>
      </c>
      <c r="S28" s="10" t="str" cm="1">
        <f t="array" ref="S28">INDEX('Product-ConceptMap'!$I$15:$N$273,Q28+1,R28)</f>
        <v>* group[=].element[=].display = ##34#A.1.4.2.1 Identifier(s) of the pharmaceutical product##34#</v>
      </c>
    </row>
    <row r="29" spans="1:19" ht="14.75" customHeight="1" x14ac:dyDescent="0.75">
      <c r="B29" s="7" t="str">
        <f>Product!B19</f>
        <v>PackageSize</v>
      </c>
      <c r="C29" s="7" t="str">
        <f>Product!C19</f>
        <v>A.1.4.9 Pack size</v>
      </c>
      <c r="D29" s="10" t="s">
        <v>546</v>
      </c>
      <c r="E29" s="10"/>
      <c r="F29" s="48" t="s">
        <v>302</v>
      </c>
      <c r="G29" s="4" t="s">
        <v>545</v>
      </c>
      <c r="H29" s="49"/>
      <c r="I29" s="10" t="str">
        <f t="shared" si="8"/>
        <v>* group[=].element[+].code = #MedicinalProduct.PackageSize</v>
      </c>
      <c r="J29" s="10" t="str">
        <f t="shared" si="9"/>
        <v>* group[=].element[=].display = ##34#A.1.4.9 Pack size##34#</v>
      </c>
      <c r="K29" s="10" t="str">
        <f t="shared" si="10"/>
        <v>* group[=].element[=].target.code = #Medication.extension(definition).ValueReference</v>
      </c>
      <c r="L29" s="10" t="str">
        <f t="shared" si="11"/>
        <v>* group[=].element[=].target.display = ##34###34#</v>
      </c>
      <c r="M29" s="10" t="str">
        <f t="shared" si="12"/>
        <v>* group[=].element[=].target.equivalence = #relatedto</v>
      </c>
      <c r="N29" s="10" t="str">
        <f t="shared" si="13"/>
        <v>* group[=].element[=].target.comment = ##34#MedicationKnowledge.packaging.quantity##34#</v>
      </c>
      <c r="P29" s="7">
        <v>15</v>
      </c>
      <c r="Q29" s="7">
        <f t="shared" si="6"/>
        <v>2</v>
      </c>
      <c r="R29" s="7">
        <f t="shared" si="14"/>
        <v>3</v>
      </c>
      <c r="S29" s="10" t="str" cm="1">
        <f t="array" ref="S29">INDEX('Product-ConceptMap'!$I$15:$N$273,Q29+1,R29)</f>
        <v>* group[=].element[=].target.code = #Medication.code.coding</v>
      </c>
    </row>
    <row r="30" spans="1:19" x14ac:dyDescent="0.75">
      <c r="B30" s="7"/>
      <c r="C30" s="7"/>
      <c r="D30" s="10"/>
      <c r="E30" s="10"/>
      <c r="F30" s="48"/>
      <c r="G30" s="48"/>
      <c r="H30" s="49"/>
      <c r="I30" s="10"/>
      <c r="J30" s="10"/>
      <c r="K30" s="10"/>
      <c r="L30" s="10"/>
      <c r="M30" s="10"/>
      <c r="N30" s="10"/>
      <c r="P30" s="7">
        <v>16</v>
      </c>
      <c r="Q30" s="7">
        <f t="shared" si="6"/>
        <v>2</v>
      </c>
      <c r="R30" s="7">
        <f t="shared" si="14"/>
        <v>4</v>
      </c>
      <c r="S30" s="10" t="str" cm="1">
        <f t="array" ref="S30">INDEX('Product-ConceptMap'!$I$15:$N$273,Q30+1,R30)</f>
        <v>* group[=].element[=].target.display = ##34###34#</v>
      </c>
    </row>
    <row r="31" spans="1:19" x14ac:dyDescent="0.75">
      <c r="B31" s="7"/>
      <c r="C31" s="7"/>
      <c r="D31" s="10"/>
      <c r="E31" s="10"/>
      <c r="F31" s="48"/>
      <c r="G31" s="48"/>
      <c r="H31" s="49"/>
      <c r="I31" s="10"/>
      <c r="J31" s="10"/>
      <c r="K31" s="10"/>
      <c r="L31" s="10"/>
      <c r="M31" s="10"/>
      <c r="N31" s="10"/>
      <c r="P31" s="7">
        <v>17</v>
      </c>
      <c r="Q31" s="7">
        <f t="shared" si="6"/>
        <v>2</v>
      </c>
      <c r="R31" s="7">
        <f t="shared" si="14"/>
        <v>5</v>
      </c>
      <c r="S31" s="10" t="str" cm="1">
        <f t="array" ref="S31">INDEX('Product-ConceptMap'!$I$15:$N$273,Q31+1,R31)</f>
        <v>* group[=].element[=].target.equivalence = #relatedto</v>
      </c>
    </row>
    <row r="32" spans="1:19" ht="29.5" x14ac:dyDescent="0.75">
      <c r="B32" s="7"/>
      <c r="C32" s="7"/>
      <c r="D32" s="10"/>
      <c r="E32" s="10"/>
      <c r="F32" s="48"/>
      <c r="G32" s="48"/>
      <c r="H32" s="49"/>
      <c r="I32" s="10"/>
      <c r="J32" s="10"/>
      <c r="K32" s="10"/>
      <c r="L32" s="10"/>
      <c r="M32" s="10"/>
      <c r="N32" s="10"/>
      <c r="P32" s="7">
        <v>18</v>
      </c>
      <c r="Q32" s="7">
        <f t="shared" si="6"/>
        <v>2</v>
      </c>
      <c r="R32" s="7">
        <f t="shared" si="14"/>
        <v>6</v>
      </c>
      <c r="S32" s="10" t="str" cm="1">
        <f t="array" ref="S32">INDEX('Product-ConceptMap'!$I$15:$N$273,Q32+1,R32)</f>
        <v>* group[=].element[=].target.comment = ##34#How it is implemented now in the IPS. TBD##34#</v>
      </c>
    </row>
    <row r="33" spans="1:19" x14ac:dyDescent="0.75">
      <c r="B33" s="7"/>
      <c r="C33" s="7"/>
      <c r="D33" s="10"/>
      <c r="E33" s="10"/>
      <c r="F33" s="48"/>
      <c r="G33" s="48"/>
      <c r="H33" s="49"/>
      <c r="I33" s="10"/>
      <c r="J33" s="10"/>
      <c r="K33" s="10"/>
      <c r="L33" s="10"/>
      <c r="M33" s="10"/>
      <c r="N33" s="10"/>
      <c r="P33" s="7">
        <v>19</v>
      </c>
      <c r="Q33" s="7">
        <f t="shared" si="6"/>
        <v>3</v>
      </c>
      <c r="R33" s="7">
        <f t="shared" si="14"/>
        <v>1</v>
      </c>
      <c r="S33" s="10" t="str" cm="1">
        <f t="array" ref="S33">INDEX('Product-ConceptMap'!$I$15:$N$273,Q33+1,R33)</f>
        <v>* group[=].element[+].code = #MedicinalProduct.pcid</v>
      </c>
    </row>
    <row r="34" spans="1:19" ht="29.5" x14ac:dyDescent="0.75">
      <c r="B34" s="7"/>
      <c r="C34" s="7"/>
      <c r="D34" s="10"/>
      <c r="E34" s="10"/>
      <c r="F34" s="48"/>
      <c r="G34" s="48"/>
      <c r="H34" s="49"/>
      <c r="I34" s="10"/>
      <c r="J34" s="10"/>
      <c r="K34" s="10"/>
      <c r="L34" s="10"/>
      <c r="M34" s="10"/>
      <c r="N34" s="10"/>
      <c r="P34" s="7">
        <v>20</v>
      </c>
      <c r="Q34" s="7">
        <f t="shared" si="6"/>
        <v>3</v>
      </c>
      <c r="R34" s="7">
        <f t="shared" si="14"/>
        <v>2</v>
      </c>
      <c r="S34" s="10" t="str" cm="1">
        <f t="array" ref="S34">INDEX('Product-ConceptMap'!$I$15:$N$273,Q34+1,R34)</f>
        <v>* group[=].element[=].display = ##34#A.1.4.2.2 Identifier(s) of the packaged medicinal product##34#</v>
      </c>
    </row>
    <row r="35" spans="1:19" x14ac:dyDescent="0.75">
      <c r="B35" s="7"/>
      <c r="C35" s="7"/>
      <c r="D35" s="10"/>
      <c r="E35" s="10"/>
      <c r="F35" s="48"/>
      <c r="G35" s="48"/>
      <c r="H35" s="49"/>
      <c r="I35" s="10"/>
      <c r="J35" s="10"/>
      <c r="K35" s="10"/>
      <c r="L35" s="10"/>
      <c r="M35" s="10"/>
      <c r="N35" s="1"/>
      <c r="P35" s="7">
        <v>21</v>
      </c>
      <c r="Q35" s="7">
        <f t="shared" si="6"/>
        <v>3</v>
      </c>
      <c r="R35" s="7">
        <f t="shared" si="14"/>
        <v>3</v>
      </c>
      <c r="S35" s="10" t="str" cm="1">
        <f t="array" ref="S35">INDEX('Product-ConceptMap'!$I$15:$N$273,Q35+1,R35)</f>
        <v>* group[=].element[=].target.code = #Medication.code.coding</v>
      </c>
    </row>
    <row r="36" spans="1:19" x14ac:dyDescent="0.75">
      <c r="B36" s="7"/>
      <c r="C36" s="7"/>
      <c r="D36" s="10"/>
      <c r="E36" s="10"/>
      <c r="F36" s="48"/>
      <c r="G36" s="48"/>
      <c r="H36" s="49"/>
      <c r="I36" s="10"/>
      <c r="J36" s="10"/>
      <c r="K36" s="10"/>
      <c r="L36" s="10"/>
      <c r="M36" s="10"/>
      <c r="N36" s="1"/>
      <c r="P36" s="7">
        <v>22</v>
      </c>
      <c r="Q36" s="7">
        <f t="shared" si="6"/>
        <v>3</v>
      </c>
      <c r="R36" s="7">
        <f t="shared" si="14"/>
        <v>4</v>
      </c>
      <c r="S36" s="10" t="str" cm="1">
        <f t="array" ref="S36">INDEX('Product-ConceptMap'!$I$15:$N$273,Q36+1,R36)</f>
        <v>* group[=].element[=].target.display = ##34###34#</v>
      </c>
    </row>
    <row r="37" spans="1:19" x14ac:dyDescent="0.75">
      <c r="B37" s="7"/>
      <c r="C37" s="7"/>
      <c r="D37" s="10"/>
      <c r="E37" s="10"/>
      <c r="F37" s="48"/>
      <c r="G37" s="48"/>
      <c r="H37" s="49"/>
      <c r="I37" s="10"/>
      <c r="J37" s="10"/>
      <c r="K37" s="10"/>
      <c r="L37" s="10"/>
      <c r="M37" s="10"/>
      <c r="N37" s="1"/>
      <c r="P37" s="7">
        <v>23</v>
      </c>
      <c r="Q37" s="7">
        <f t="shared" si="6"/>
        <v>3</v>
      </c>
      <c r="R37" s="7">
        <f t="shared" si="14"/>
        <v>5</v>
      </c>
      <c r="S37" s="10" t="str" cm="1">
        <f t="array" ref="S37">INDEX('Product-ConceptMap'!$I$15:$N$273,Q37+1,R37)</f>
        <v>* group[=].element[=].target.equivalence = #relatedto</v>
      </c>
    </row>
    <row r="38" spans="1:19" ht="29.5" x14ac:dyDescent="0.75">
      <c r="B38" s="7"/>
      <c r="C38" s="7"/>
      <c r="D38" s="10"/>
      <c r="E38" s="10"/>
      <c r="F38" s="48"/>
      <c r="G38" s="48"/>
      <c r="H38" s="49"/>
      <c r="K38" s="49"/>
      <c r="L38" s="49"/>
      <c r="M38" s="47"/>
      <c r="N38" s="47"/>
      <c r="P38" s="7">
        <v>24</v>
      </c>
      <c r="Q38" s="7">
        <f t="shared" si="6"/>
        <v>3</v>
      </c>
      <c r="R38" s="7">
        <f t="shared" si="14"/>
        <v>6</v>
      </c>
      <c r="S38" s="10" t="str" cm="1">
        <f t="array" ref="S38">INDEX('Product-ConceptMap'!$I$15:$N$273,Q38+1,R38)</f>
        <v>* group[=].element[=].target.comment = ##34#How it is implemented now in the IPS. TBD##34#</v>
      </c>
    </row>
    <row r="39" spans="1:19" x14ac:dyDescent="0.75">
      <c r="B39" s="7"/>
      <c r="C39" s="7"/>
      <c r="D39" s="10"/>
      <c r="E39" s="10"/>
      <c r="F39" s="48"/>
      <c r="G39" s="48"/>
      <c r="H39" s="49"/>
      <c r="K39" s="49"/>
      <c r="L39" s="49"/>
      <c r="M39" s="47"/>
      <c r="N39" s="47"/>
      <c r="P39" s="7">
        <v>25</v>
      </c>
      <c r="Q39" s="7">
        <f t="shared" si="6"/>
        <v>4</v>
      </c>
      <c r="R39" s="7">
        <f t="shared" si="14"/>
        <v>1</v>
      </c>
      <c r="S39" s="10" t="str" cm="1">
        <f t="array" ref="S39">INDEX('Product-ConceptMap'!$I$15:$N$273,Q39+1,R39)</f>
        <v>* group[=].element[+].code = #MedicinalProduct.marketingAuthHolder</v>
      </c>
    </row>
    <row r="40" spans="1:19" s="1" customFormat="1" x14ac:dyDescent="0.75">
      <c r="A40"/>
      <c r="B40" s="7"/>
      <c r="C40" s="7"/>
      <c r="D40" s="10"/>
      <c r="E40" s="10"/>
      <c r="F40" s="48"/>
      <c r="G40" s="49"/>
      <c r="H40" s="49"/>
      <c r="J40"/>
      <c r="K40" s="49"/>
      <c r="L40" s="49"/>
      <c r="M40" s="47"/>
      <c r="N40" s="47"/>
      <c r="P40" s="7">
        <v>26</v>
      </c>
      <c r="Q40" s="7">
        <f t="shared" si="6"/>
        <v>4</v>
      </c>
      <c r="R40" s="7">
        <f t="shared" si="14"/>
        <v>2</v>
      </c>
      <c r="S40" s="10" t="str" cm="1">
        <f t="array" ref="S40">INDEX('Product-ConceptMap'!$I$15:$N$273,Q40+1,R40)</f>
        <v>* group[=].element[=].display = ##34#A.1.4.3 Marketing authorisation holder##34#</v>
      </c>
    </row>
    <row r="41" spans="1:19" s="1" customFormat="1" x14ac:dyDescent="0.75">
      <c r="A41"/>
      <c r="B41" s="7"/>
      <c r="C41" s="7"/>
      <c r="D41" s="39"/>
      <c r="F41" s="49"/>
      <c r="G41" s="49"/>
      <c r="H41" s="49"/>
      <c r="J41"/>
      <c r="K41" s="49"/>
      <c r="L41" s="49"/>
      <c r="M41" s="47"/>
      <c r="N41" s="47"/>
      <c r="P41" s="7">
        <v>27</v>
      </c>
      <c r="Q41" s="7">
        <f t="shared" si="6"/>
        <v>4</v>
      </c>
      <c r="R41" s="7">
        <f t="shared" si="14"/>
        <v>3</v>
      </c>
      <c r="S41" s="10" t="str" cm="1">
        <f t="array" ref="S41">INDEX('Product-ConceptMap'!$I$15:$N$273,Q41+1,R41)</f>
        <v>* group[=].element[=].target.code = #Medication.manufacturer</v>
      </c>
    </row>
    <row r="42" spans="1:19" s="1" customFormat="1" x14ac:dyDescent="0.75">
      <c r="A42"/>
      <c r="B42" s="7"/>
      <c r="C42" s="7"/>
      <c r="F42" s="49"/>
      <c r="G42" s="49"/>
      <c r="H42" s="49"/>
      <c r="J42"/>
      <c r="K42" s="49"/>
      <c r="L42" s="49"/>
      <c r="M42" s="47"/>
      <c r="N42" s="47"/>
      <c r="P42" s="7">
        <v>28</v>
      </c>
      <c r="Q42" s="7">
        <f t="shared" si="6"/>
        <v>4</v>
      </c>
      <c r="R42" s="7">
        <f t="shared" si="14"/>
        <v>4</v>
      </c>
      <c r="S42" s="10" t="str" cm="1">
        <f t="array" ref="S42">INDEX('Product-ConceptMap'!$I$15:$N$273,Q42+1,R42)</f>
        <v>* group[=].element[=].target.display = ##34###34#</v>
      </c>
    </row>
    <row r="43" spans="1:19" s="1" customFormat="1" x14ac:dyDescent="0.75">
      <c r="A43"/>
      <c r="B43" s="7"/>
      <c r="C43" s="7"/>
      <c r="F43" s="49"/>
      <c r="G43" s="49"/>
      <c r="H43" s="49"/>
      <c r="J43" s="49"/>
      <c r="K43" s="49"/>
      <c r="L43" s="49"/>
      <c r="M43" s="47"/>
      <c r="N43" s="47"/>
      <c r="P43" s="7">
        <v>29</v>
      </c>
      <c r="Q43" s="7">
        <f t="shared" si="6"/>
        <v>4</v>
      </c>
      <c r="R43" s="7">
        <f t="shared" si="14"/>
        <v>5</v>
      </c>
      <c r="S43" s="10" t="str" cm="1">
        <f t="array" ref="S43">INDEX('Product-ConceptMap'!$I$15:$N$273,Q43+1,R43)</f>
        <v>* group[=].element[=].target.equivalence = #equivalent</v>
      </c>
    </row>
    <row r="44" spans="1:19" s="1" customFormat="1" x14ac:dyDescent="0.75">
      <c r="A44"/>
      <c r="B44" s="7"/>
      <c r="C44" s="7"/>
      <c r="F44" s="49"/>
      <c r="G44" s="49"/>
      <c r="H44" s="49"/>
      <c r="J44" s="49"/>
      <c r="K44" s="49"/>
      <c r="L44" s="49"/>
      <c r="M44" s="47"/>
      <c r="N44" s="47"/>
      <c r="P44" s="7">
        <v>30</v>
      </c>
      <c r="Q44" s="7">
        <f t="shared" si="6"/>
        <v>4</v>
      </c>
      <c r="R44" s="7">
        <f t="shared" si="14"/>
        <v>6</v>
      </c>
      <c r="S44" s="10" t="str" cm="1">
        <f t="array" ref="S44">INDEX('Product-ConceptMap'!$I$15:$N$273,Q44+1,R44)</f>
        <v/>
      </c>
    </row>
    <row r="45" spans="1:19" s="1" customFormat="1" x14ac:dyDescent="0.75">
      <c r="A45"/>
      <c r="B45" s="7"/>
      <c r="C45" s="7"/>
      <c r="F45" s="49"/>
      <c r="G45" s="49"/>
      <c r="H45" s="49"/>
      <c r="J45" s="49"/>
      <c r="K45" s="49"/>
      <c r="L45" s="49"/>
      <c r="M45" s="47"/>
      <c r="N45" s="47"/>
      <c r="P45" s="7">
        <v>31</v>
      </c>
      <c r="Q45" s="7">
        <f t="shared" si="6"/>
        <v>5</v>
      </c>
      <c r="R45" s="7">
        <f t="shared" si="14"/>
        <v>1</v>
      </c>
      <c r="S45" s="10" t="str" cm="1">
        <f t="array" ref="S45">INDEX('Product-ConceptMap'!$I$15:$N$273,Q45+1,R45)</f>
        <v>* group[=].element[+].code = #MedicinalProduct.activeSubstance</v>
      </c>
    </row>
    <row r="46" spans="1:19" s="1" customFormat="1" x14ac:dyDescent="0.75">
      <c r="A46"/>
      <c r="B46" s="7"/>
      <c r="C46" s="7"/>
      <c r="F46" s="49"/>
      <c r="G46" s="49"/>
      <c r="H46" s="49"/>
      <c r="J46" s="49"/>
      <c r="K46" s="49"/>
      <c r="L46" s="49"/>
      <c r="M46" s="49"/>
      <c r="N46" s="49"/>
      <c r="P46" s="7">
        <v>32</v>
      </c>
      <c r="Q46" s="7">
        <f t="shared" si="6"/>
        <v>5</v>
      </c>
      <c r="R46" s="7">
        <f t="shared" si="14"/>
        <v>2</v>
      </c>
      <c r="S46" s="10" t="str" cm="1">
        <f t="array" ref="S46">INDEX('Product-ConceptMap'!$I$15:$N$273,Q46+1,R46)</f>
        <v>* group[=].element[=].display = ##34#A.1.4.4 Active substance(s)##34#</v>
      </c>
    </row>
    <row r="47" spans="1:19" s="1" customFormat="1" x14ac:dyDescent="0.75">
      <c r="A47"/>
      <c r="B47" s="7"/>
      <c r="C47"/>
      <c r="F47" s="49"/>
      <c r="G47" s="49"/>
      <c r="H47" s="49"/>
      <c r="J47" s="49"/>
      <c r="K47" s="49"/>
      <c r="L47" s="49"/>
      <c r="M47" s="49"/>
      <c r="N47" s="49"/>
      <c r="P47" s="7">
        <v>33</v>
      </c>
      <c r="Q47" s="7">
        <f t="shared" si="6"/>
        <v>5</v>
      </c>
      <c r="R47" s="7">
        <f t="shared" si="14"/>
        <v>3</v>
      </c>
      <c r="S47" s="10" t="str" cm="1">
        <f t="array" ref="S47">INDEX('Product-ConceptMap'!$I$15:$N$273,Q47+1,R47)</f>
        <v>* group[=].element[=].target.code = #Medication.ingredient</v>
      </c>
    </row>
    <row r="48" spans="1:19" s="1" customFormat="1" x14ac:dyDescent="0.75">
      <c r="A48"/>
      <c r="B48" s="7"/>
      <c r="C48"/>
      <c r="F48" s="49"/>
      <c r="G48" s="49"/>
      <c r="H48" s="49"/>
      <c r="J48" s="49"/>
      <c r="K48" s="49"/>
      <c r="L48" s="49"/>
      <c r="M48" s="49"/>
      <c r="N48" s="49"/>
      <c r="P48" s="7">
        <v>34</v>
      </c>
      <c r="Q48" s="7">
        <f t="shared" si="6"/>
        <v>5</v>
      </c>
      <c r="R48" s="7">
        <f t="shared" si="14"/>
        <v>4</v>
      </c>
      <c r="S48" s="10" t="str" cm="1">
        <f t="array" ref="S48">INDEX('Product-ConceptMap'!$I$15:$N$273,Q48+1,R48)</f>
        <v>* group[=].element[=].target.display = ##34###34#</v>
      </c>
    </row>
    <row r="49" spans="1:19" s="1" customFormat="1" x14ac:dyDescent="0.75">
      <c r="A49"/>
      <c r="B49" s="7"/>
      <c r="C49"/>
      <c r="F49" s="49"/>
      <c r="G49" s="49"/>
      <c r="H49" s="49"/>
      <c r="J49" s="49"/>
      <c r="K49" s="49"/>
      <c r="L49" s="49"/>
      <c r="M49" s="49"/>
      <c r="N49" s="49"/>
      <c r="P49" s="7">
        <v>35</v>
      </c>
      <c r="Q49" s="7">
        <f t="shared" si="6"/>
        <v>5</v>
      </c>
      <c r="R49" s="7">
        <f t="shared" si="14"/>
        <v>5</v>
      </c>
      <c r="S49" s="10" t="str" cm="1">
        <f t="array" ref="S49">INDEX('Product-ConceptMap'!$I$15:$N$273,Q49+1,R49)</f>
        <v>* group[=].element[=].target.equivalence = #equivalent</v>
      </c>
    </row>
    <row r="50" spans="1:19" s="1" customFormat="1" x14ac:dyDescent="0.75">
      <c r="A50"/>
      <c r="B50" s="7"/>
      <c r="C50"/>
      <c r="F50" s="49"/>
      <c r="G50" s="49"/>
      <c r="H50" s="49"/>
      <c r="J50" s="49"/>
      <c r="K50" s="49"/>
      <c r="L50" s="49"/>
      <c r="M50" s="49"/>
      <c r="N50" s="49"/>
      <c r="P50" s="7">
        <v>36</v>
      </c>
      <c r="Q50" s="7">
        <f t="shared" si="6"/>
        <v>5</v>
      </c>
      <c r="R50" s="7">
        <f t="shared" si="14"/>
        <v>6</v>
      </c>
      <c r="S50" s="10" t="str" cm="1">
        <f t="array" ref="S50">INDEX('Product-ConceptMap'!$I$15:$N$273,Q50+1,R50)</f>
        <v>* group[=].element[=].target.comment = ##34#where isActitve = 'true'##34#</v>
      </c>
    </row>
    <row r="51" spans="1:19" s="1" customFormat="1" x14ac:dyDescent="0.75">
      <c r="A51"/>
      <c r="B51" s="7"/>
      <c r="C51"/>
      <c r="F51" s="49"/>
      <c r="G51" s="49"/>
      <c r="H51" s="49"/>
      <c r="J51" s="49"/>
      <c r="K51" s="49"/>
      <c r="L51" s="49"/>
      <c r="M51" s="49"/>
      <c r="N51" s="49"/>
      <c r="P51" s="7">
        <v>37</v>
      </c>
      <c r="Q51" s="7">
        <f t="shared" si="6"/>
        <v>6</v>
      </c>
      <c r="R51" s="7">
        <f t="shared" si="14"/>
        <v>1</v>
      </c>
      <c r="S51" s="10" t="str" cm="1">
        <f t="array" ref="S51">INDEX('Product-ConceptMap'!$I$15:$N$273,Q51+1,R51)</f>
        <v>* group[=].element[+].code = #MedicinalProduct.strength</v>
      </c>
    </row>
    <row r="52" spans="1:19" ht="29.5" x14ac:dyDescent="0.75">
      <c r="F52" s="49"/>
      <c r="G52" s="49"/>
      <c r="H52" s="49"/>
      <c r="J52" s="49"/>
      <c r="K52" s="49"/>
      <c r="L52" s="49"/>
      <c r="M52" s="49"/>
      <c r="N52" s="49"/>
      <c r="P52" s="7">
        <v>38</v>
      </c>
      <c r="Q52" s="7">
        <f t="shared" si="6"/>
        <v>6</v>
      </c>
      <c r="R52" s="7">
        <f t="shared" si="14"/>
        <v>2</v>
      </c>
      <c r="S52" s="10" t="str" cm="1">
        <f t="array" ref="S52">INDEX('Product-ConceptMap'!$I$15:$N$273,Q52+1,R52)</f>
        <v>* group[=].element[=].display = ##34#A.1.4.4.1 Strength of the active substance(s)##34#</v>
      </c>
    </row>
    <row r="53" spans="1:19" x14ac:dyDescent="0.75">
      <c r="F53" s="49"/>
      <c r="G53" s="49"/>
      <c r="H53" s="49"/>
      <c r="J53" s="49"/>
      <c r="K53" s="49"/>
      <c r="L53" s="49"/>
      <c r="M53" s="49"/>
      <c r="N53" s="49"/>
      <c r="P53" s="7">
        <v>39</v>
      </c>
      <c r="Q53" s="7">
        <f t="shared" si="6"/>
        <v>6</v>
      </c>
      <c r="R53" s="7">
        <f t="shared" si="14"/>
        <v>3</v>
      </c>
      <c r="S53" s="10" t="str" cm="1">
        <f t="array" ref="S53">INDEX('Product-ConceptMap'!$I$15:$N$273,Q53+1,R53)</f>
        <v>* group[=].element[=].target.code = #Medication.ingredient.strength</v>
      </c>
    </row>
    <row r="54" spans="1:19" x14ac:dyDescent="0.75">
      <c r="F54" s="49"/>
      <c r="G54" s="49"/>
      <c r="H54" s="49"/>
      <c r="J54" s="49"/>
      <c r="K54" s="49"/>
      <c r="L54" s="49"/>
      <c r="M54" s="49"/>
      <c r="N54" s="49"/>
      <c r="P54" s="7">
        <v>40</v>
      </c>
      <c r="Q54" s="7">
        <f t="shared" si="6"/>
        <v>6</v>
      </c>
      <c r="R54" s="7">
        <f t="shared" si="14"/>
        <v>4</v>
      </c>
      <c r="S54" s="10" t="str" cm="1">
        <f t="array" ref="S54">INDEX('Product-ConceptMap'!$I$15:$N$273,Q54+1,R54)</f>
        <v>* group[=].element[=].target.display = ##34###34#</v>
      </c>
    </row>
    <row r="55" spans="1:19" x14ac:dyDescent="0.75">
      <c r="F55" s="49"/>
      <c r="G55" s="49"/>
      <c r="H55" s="49"/>
      <c r="J55" s="49"/>
      <c r="K55" s="49"/>
      <c r="L55" s="49"/>
      <c r="M55" s="49"/>
      <c r="N55" s="49"/>
      <c r="P55" s="7">
        <v>41</v>
      </c>
      <c r="Q55" s="7">
        <f t="shared" si="6"/>
        <v>6</v>
      </c>
      <c r="R55" s="7">
        <f t="shared" si="14"/>
        <v>5</v>
      </c>
      <c r="S55" s="10" t="str" cm="1">
        <f t="array" ref="S55">INDEX('Product-ConceptMap'!$I$15:$N$273,Q55+1,R55)</f>
        <v>* group[=].element[=].target.equivalence = #relatedto</v>
      </c>
    </row>
    <row r="56" spans="1:19" ht="29.5" x14ac:dyDescent="0.75">
      <c r="E56"/>
      <c r="P56" s="7">
        <v>42</v>
      </c>
      <c r="Q56" s="7">
        <f t="shared" si="6"/>
        <v>6</v>
      </c>
      <c r="R56" s="7">
        <f t="shared" si="14"/>
        <v>6</v>
      </c>
      <c r="S56" s="10" t="str" cm="1">
        <f t="array" ref="S56">INDEX('Product-ConceptMap'!$I$15:$N$273,Q56+1,R56)</f>
        <v>* group[=].element[=].target.comment = ##34#only one kind of strength is provided.
Clarify how to provide ingredient and strength as text##34#</v>
      </c>
    </row>
    <row r="57" spans="1:19" x14ac:dyDescent="0.75">
      <c r="P57" s="7">
        <v>43</v>
      </c>
      <c r="Q57" s="7">
        <f t="shared" si="6"/>
        <v>7</v>
      </c>
      <c r="R57" s="7">
        <f t="shared" si="14"/>
        <v>1</v>
      </c>
      <c r="S57" s="10" t="str" cm="1">
        <f t="array" ref="S57">INDEX('Product-ConceptMap'!$I$15:$N$273,Q57+1,R57)</f>
        <v>* group[=].element[+].code = #MedicinalProduct.classification</v>
      </c>
    </row>
    <row r="58" spans="1:19" x14ac:dyDescent="0.75">
      <c r="P58" s="7">
        <v>44</v>
      </c>
      <c r="Q58" s="7">
        <f t="shared" si="6"/>
        <v>7</v>
      </c>
      <c r="R58" s="7">
        <f t="shared" si="14"/>
        <v>2</v>
      </c>
      <c r="S58" s="10" t="str" cm="1">
        <f t="array" ref="S58">INDEX('Product-ConceptMap'!$I$15:$N$273,Q58+1,R58)</f>
        <v>* group[=].element[=].display = ##34#A.1.4.5 Product classification ##34#</v>
      </c>
    </row>
    <row r="59" spans="1:19" ht="29.5" x14ac:dyDescent="0.75">
      <c r="P59" s="7">
        <v>45</v>
      </c>
      <c r="Q59" s="7">
        <f t="shared" si="6"/>
        <v>7</v>
      </c>
      <c r="R59" s="7">
        <f t="shared" si="14"/>
        <v>3</v>
      </c>
      <c r="S59" s="10" t="str" cm="1">
        <f t="array" ref="S59">INDEX('Product-ConceptMap'!$I$15:$N$273,Q59+1,R59)</f>
        <v>* group[=].element[=].target.code = #Medication.extension(definition).ValueReference</v>
      </c>
    </row>
    <row r="60" spans="1:19" x14ac:dyDescent="0.75">
      <c r="P60" s="7">
        <v>46</v>
      </c>
      <c r="Q60" s="7">
        <f t="shared" si="6"/>
        <v>7</v>
      </c>
      <c r="R60" s="7">
        <f t="shared" si="14"/>
        <v>4</v>
      </c>
      <c r="S60" s="10" t="str" cm="1">
        <f t="array" ref="S60">INDEX('Product-ConceptMap'!$I$15:$N$273,Q60+1,R60)</f>
        <v>* group[=].element[=].target.display = ##34###34#</v>
      </c>
    </row>
    <row r="61" spans="1:19" x14ac:dyDescent="0.75">
      <c r="P61" s="7">
        <v>47</v>
      </c>
      <c r="Q61" s="7">
        <f t="shared" si="6"/>
        <v>7</v>
      </c>
      <c r="R61" s="7">
        <f t="shared" si="14"/>
        <v>5</v>
      </c>
      <c r="S61" s="10" t="str" cm="1">
        <f t="array" ref="S61">INDEX('Product-ConceptMap'!$I$15:$N$273,Q61+1,R61)</f>
        <v>* group[=].element[=].target.equivalence = #relatedto</v>
      </c>
    </row>
    <row r="62" spans="1:19" ht="44.25" x14ac:dyDescent="0.75">
      <c r="P62" s="7">
        <v>48</v>
      </c>
      <c r="Q62" s="7">
        <f t="shared" si="6"/>
        <v>7</v>
      </c>
      <c r="R62" s="7">
        <f t="shared" si="14"/>
        <v>6</v>
      </c>
      <c r="S62" s="10" t="str" cm="1">
        <f t="array" ref="S62">INDEX('Product-ConceptMap'!$I$15:$N$273,Q62+1,R62)</f>
        <v>* group[=].element[=].target.comment = ##34#MedicationKnowledge.medicineClassification.classification.
Type to be defined##34#</v>
      </c>
    </row>
    <row r="63" spans="1:19" x14ac:dyDescent="0.75">
      <c r="P63" s="7">
        <v>49</v>
      </c>
      <c r="Q63" s="7">
        <f t="shared" si="6"/>
        <v>8</v>
      </c>
      <c r="R63" s="7">
        <f t="shared" si="14"/>
        <v>1</v>
      </c>
      <c r="S63" s="10" t="str" cm="1">
        <f t="array" ref="S63">INDEX('Product-ConceptMap'!$I$15:$N$273,Q63+1,R63)</f>
        <v>* group[=].element[+].code = #MedicinalProduct.classification</v>
      </c>
    </row>
    <row r="64" spans="1:19" x14ac:dyDescent="0.75">
      <c r="P64" s="7">
        <v>50</v>
      </c>
      <c r="Q64" s="7">
        <f t="shared" si="6"/>
        <v>8</v>
      </c>
      <c r="R64" s="7">
        <f t="shared" si="14"/>
        <v>2</v>
      </c>
      <c r="S64" s="10" t="str" cm="1">
        <f t="array" ref="S64">INDEX('Product-ConceptMap'!$I$15:$N$273,Q64+1,R64)</f>
        <v>* group[=].element[=].display = ##34#A.1.4.5 Product classification ##34#</v>
      </c>
    </row>
    <row r="65" spans="16:19" x14ac:dyDescent="0.75">
      <c r="P65" s="7">
        <v>51</v>
      </c>
      <c r="Q65" s="7">
        <f t="shared" si="6"/>
        <v>8</v>
      </c>
      <c r="R65" s="7">
        <f t="shared" si="14"/>
        <v>3</v>
      </c>
      <c r="S65" s="10" t="str" cm="1">
        <f t="array" ref="S65">INDEX('Product-ConceptMap'!$I$15:$N$273,Q65+1,R65)</f>
        <v>* group[=].element[=].target.code = #Medication.code.coding</v>
      </c>
    </row>
    <row r="66" spans="16:19" x14ac:dyDescent="0.75">
      <c r="P66" s="7">
        <v>52</v>
      </c>
      <c r="Q66" s="7">
        <f t="shared" si="6"/>
        <v>8</v>
      </c>
      <c r="R66" s="7">
        <f t="shared" si="14"/>
        <v>4</v>
      </c>
      <c r="S66" s="10" t="str" cm="1">
        <f t="array" ref="S66">INDEX('Product-ConceptMap'!$I$15:$N$273,Q66+1,R66)</f>
        <v>* group[=].element[=].target.display = ##34###34#</v>
      </c>
    </row>
    <row r="67" spans="16:19" x14ac:dyDescent="0.75">
      <c r="P67" s="7">
        <v>53</v>
      </c>
      <c r="Q67" s="7">
        <f t="shared" si="6"/>
        <v>8</v>
      </c>
      <c r="R67" s="7">
        <f t="shared" si="14"/>
        <v>5</v>
      </c>
      <c r="S67" s="10" t="str" cm="1">
        <f t="array" ref="S67">INDEX('Product-ConceptMap'!$I$15:$N$273,Q67+1,R67)</f>
        <v>* group[=].element[=].target.equivalence = #equivalent</v>
      </c>
    </row>
    <row r="68" spans="16:19" ht="29.5" x14ac:dyDescent="0.75">
      <c r="P68" s="7">
        <v>54</v>
      </c>
      <c r="Q68" s="7">
        <f t="shared" si="6"/>
        <v>8</v>
      </c>
      <c r="R68" s="7">
        <f t="shared" si="14"/>
        <v>6</v>
      </c>
      <c r="S68" s="10" t="str" cm="1">
        <f t="array" ref="S68">INDEX('Product-ConceptMap'!$I$15:$N$273,Q68+1,R68)</f>
        <v>* group[=].element[=].target.comment = ##34#How it is implemented now in the IPS##34#</v>
      </c>
    </row>
    <row r="69" spans="16:19" x14ac:dyDescent="0.75">
      <c r="P69" s="7">
        <v>55</v>
      </c>
      <c r="Q69" s="7">
        <f t="shared" si="6"/>
        <v>9</v>
      </c>
      <c r="R69" s="7">
        <f t="shared" si="14"/>
        <v>1</v>
      </c>
      <c r="S69" s="10" t="str" cm="1">
        <f t="array" ref="S69">INDEX('Product-ConceptMap'!$I$15:$N$273,Q69+1,R69)</f>
        <v>* group[=].element[+].code = #MedicinalProduct.doseForm</v>
      </c>
    </row>
    <row r="70" spans="16:19" x14ac:dyDescent="0.75">
      <c r="P70" s="7">
        <v>56</v>
      </c>
      <c r="Q70" s="7">
        <f t="shared" si="6"/>
        <v>9</v>
      </c>
      <c r="R70" s="7">
        <f t="shared" si="14"/>
        <v>2</v>
      </c>
      <c r="S70" s="10" t="str" cm="1">
        <f t="array" ref="S70">INDEX('Product-ConceptMap'!$I$15:$N$273,Q70+1,R70)</f>
        <v>* group[=].element[=].display = ##34#A.1.4.6 Pharmaceutical dose form(s)##34#</v>
      </c>
    </row>
    <row r="71" spans="16:19" x14ac:dyDescent="0.75">
      <c r="P71" s="7">
        <v>57</v>
      </c>
      <c r="Q71" s="7">
        <f t="shared" si="6"/>
        <v>9</v>
      </c>
      <c r="R71" s="7">
        <f t="shared" si="14"/>
        <v>3</v>
      </c>
      <c r="S71" s="10" t="str" cm="1">
        <f t="array" ref="S71">INDEX('Product-ConceptMap'!$I$15:$N$273,Q71+1,R71)</f>
        <v>* group[=].element[=].target.code = #Medication.form</v>
      </c>
    </row>
    <row r="72" spans="16:19" x14ac:dyDescent="0.75">
      <c r="P72" s="7">
        <v>58</v>
      </c>
      <c r="Q72" s="7">
        <f t="shared" si="6"/>
        <v>9</v>
      </c>
      <c r="R72" s="7">
        <f t="shared" si="14"/>
        <v>4</v>
      </c>
      <c r="S72" s="10" t="str" cm="1">
        <f t="array" ref="S72">INDEX('Product-ConceptMap'!$I$15:$N$273,Q72+1,R72)</f>
        <v>* group[=].element[=].target.display = ##34###34#</v>
      </c>
    </row>
    <row r="73" spans="16:19" x14ac:dyDescent="0.75">
      <c r="P73" s="7">
        <v>59</v>
      </c>
      <c r="Q73" s="7">
        <f t="shared" si="6"/>
        <v>9</v>
      </c>
      <c r="R73" s="7">
        <f t="shared" si="14"/>
        <v>5</v>
      </c>
      <c r="S73" s="10" t="str" cm="1">
        <f t="array" ref="S73">INDEX('Product-ConceptMap'!$I$15:$N$273,Q73+1,R73)</f>
        <v>* group[=].element[=].target.equivalence = #relatedto</v>
      </c>
    </row>
    <row r="74" spans="16:19" x14ac:dyDescent="0.75">
      <c r="P74" s="7">
        <v>60</v>
      </c>
      <c r="Q74" s="7">
        <f t="shared" si="6"/>
        <v>9</v>
      </c>
      <c r="R74" s="7">
        <f t="shared" si="14"/>
        <v>6</v>
      </c>
      <c r="S74" s="10" t="str" cm="1">
        <f t="array" ref="S74">INDEX('Product-ConceptMap'!$I$15:$N$273,Q74+1,R74)</f>
        <v/>
      </c>
    </row>
    <row r="75" spans="16:19" x14ac:dyDescent="0.75">
      <c r="P75" s="7">
        <v>61</v>
      </c>
      <c r="Q75" s="7">
        <f t="shared" si="6"/>
        <v>10</v>
      </c>
      <c r="R75" s="7">
        <f t="shared" si="14"/>
        <v>1</v>
      </c>
      <c r="S75" s="10" t="str" cm="1">
        <f t="array" ref="S75">INDEX('Product-ConceptMap'!$I$15:$N$273,Q75+1,R75)</f>
        <v>* group[=].element[+].code = #MedicinalProduct.unitOfPresentation</v>
      </c>
    </row>
    <row r="76" spans="16:19" x14ac:dyDescent="0.75">
      <c r="P76" s="7">
        <v>62</v>
      </c>
      <c r="Q76" s="7">
        <f t="shared" si="6"/>
        <v>10</v>
      </c>
      <c r="R76" s="7">
        <f t="shared" si="14"/>
        <v>2</v>
      </c>
      <c r="S76" s="10" t="str" cm="1">
        <f t="array" ref="S76">INDEX('Product-ConceptMap'!$I$15:$N$273,Q76+1,R76)</f>
        <v>* group[=].element[=].display = ##34#A.1.4.7 Unit of presentation(s)##34#</v>
      </c>
    </row>
    <row r="77" spans="16:19" ht="29.5" x14ac:dyDescent="0.75">
      <c r="P77" s="7">
        <v>63</v>
      </c>
      <c r="Q77" s="7">
        <f t="shared" si="6"/>
        <v>10</v>
      </c>
      <c r="R77" s="7">
        <f t="shared" si="14"/>
        <v>3</v>
      </c>
      <c r="S77" s="10" t="str" cm="1">
        <f t="array" ref="S77">INDEX('Product-ConceptMap'!$I$15:$N$273,Q77+1,R77)</f>
        <v>* group[=].element[=].target.code = #Medication.ingredient.strength.denominator.code</v>
      </c>
    </row>
    <row r="78" spans="16:19" x14ac:dyDescent="0.75">
      <c r="P78" s="7">
        <v>64</v>
      </c>
      <c r="Q78" s="7">
        <f t="shared" si="6"/>
        <v>10</v>
      </c>
      <c r="R78" s="7">
        <f t="shared" si="14"/>
        <v>4</v>
      </c>
      <c r="S78" s="10" t="str" cm="1">
        <f t="array" ref="S78">INDEX('Product-ConceptMap'!$I$15:$N$273,Q78+1,R78)</f>
        <v>* group[=].element[=].target.display = ##34###34#</v>
      </c>
    </row>
    <row r="79" spans="16:19" x14ac:dyDescent="0.75">
      <c r="P79" s="7">
        <v>65</v>
      </c>
      <c r="Q79" s="7">
        <f t="shared" si="6"/>
        <v>10</v>
      </c>
      <c r="R79" s="7">
        <f t="shared" si="14"/>
        <v>5</v>
      </c>
      <c r="S79" s="10" t="str" cm="1">
        <f t="array" ref="S79">INDEX('Product-ConceptMap'!$I$15:$N$273,Q79+1,R79)</f>
        <v>* group[=].element[=].target.equivalence = #equivalent</v>
      </c>
    </row>
    <row r="80" spans="16:19" x14ac:dyDescent="0.75">
      <c r="P80" s="7">
        <v>66</v>
      </c>
      <c r="Q80" s="7">
        <f t="shared" si="6"/>
        <v>10</v>
      </c>
      <c r="R80" s="7">
        <f t="shared" si="14"/>
        <v>6</v>
      </c>
      <c r="S80" s="10" t="str" cm="1">
        <f t="array" ref="S80">INDEX('Product-ConceptMap'!$I$15:$N$273,Q80+1,R80)</f>
        <v>* group[=].element[=].target.comment = ##34#if it is the presentation strength##34#</v>
      </c>
    </row>
    <row r="81" spans="16:19" x14ac:dyDescent="0.75">
      <c r="P81" s="7">
        <v>67</v>
      </c>
      <c r="Q81" s="7">
        <f t="shared" si="6"/>
        <v>11</v>
      </c>
      <c r="R81" s="7">
        <f t="shared" si="14"/>
        <v>1</v>
      </c>
      <c r="S81" s="10" t="str" cm="1">
        <f t="array" ref="S81">INDEX('Product-ConceptMap'!$I$15:$N$273,Q81+1,R81)</f>
        <v>* group[=].element[+].code = #MedicinalProduct.packageType</v>
      </c>
    </row>
    <row r="82" spans="16:19" x14ac:dyDescent="0.75">
      <c r="P82" s="7">
        <v>68</v>
      </c>
      <c r="Q82" s="7">
        <f t="shared" si="6"/>
        <v>11</v>
      </c>
      <c r="R82" s="7">
        <f t="shared" si="14"/>
        <v>2</v>
      </c>
      <c r="S82" s="10" t="str" cm="1">
        <f t="array" ref="S82">INDEX('Product-ConceptMap'!$I$15:$N$273,Q82+1,R82)</f>
        <v>* group[=].element[=].display = ##34#A.1.4.8 Package type##34#</v>
      </c>
    </row>
    <row r="83" spans="16:19" x14ac:dyDescent="0.75">
      <c r="P83" s="7">
        <v>69</v>
      </c>
      <c r="Q83" s="7">
        <f t="shared" si="6"/>
        <v>11</v>
      </c>
      <c r="R83" s="7">
        <f t="shared" si="14"/>
        <v>3</v>
      </c>
      <c r="S83" s="10" t="str" cm="1">
        <f t="array" ref="S83">INDEX('Product-ConceptMap'!$I$15:$N$273,Q83+1,R83)</f>
        <v>* group[=].element[=].target.code = #Medication.contained.packaging.type</v>
      </c>
    </row>
    <row r="84" spans="16:19" x14ac:dyDescent="0.75">
      <c r="P84" s="7">
        <v>70</v>
      </c>
      <c r="Q84" s="7">
        <f t="shared" si="6"/>
        <v>11</v>
      </c>
      <c r="R84" s="7">
        <f t="shared" si="14"/>
        <v>4</v>
      </c>
      <c r="S84" s="10" t="str" cm="1">
        <f t="array" ref="S84">INDEX('Product-ConceptMap'!$I$15:$N$273,Q84+1,R84)</f>
        <v>* group[=].element[=].target.display = ##34###34#</v>
      </c>
    </row>
    <row r="85" spans="16:19" x14ac:dyDescent="0.75">
      <c r="P85" s="7">
        <v>71</v>
      </c>
      <c r="Q85" s="7">
        <f t="shared" ref="Q85" si="15">IF(MOD(P85,$Q$8)=0,P85/$Q$8-1,INT(P85/$Q$8))</f>
        <v>11</v>
      </c>
      <c r="R85" s="7">
        <f t="shared" si="14"/>
        <v>5</v>
      </c>
      <c r="S85" s="10" t="str" cm="1">
        <f t="array" ref="S85">INDEX('Product-ConceptMap'!$I$15:$N$273,Q85+1,R85)</f>
        <v>* group[=].element[=].target.equivalence = #relatedto</v>
      </c>
    </row>
    <row r="86" spans="16:19" x14ac:dyDescent="0.75">
      <c r="P86" s="7">
        <v>72</v>
      </c>
      <c r="Q86" s="7">
        <f t="shared" si="6"/>
        <v>11</v>
      </c>
      <c r="R86" s="7">
        <f t="shared" si="14"/>
        <v>6</v>
      </c>
      <c r="S86" s="10" t="str" cm="1">
        <f t="array" ref="S86">INDEX('Product-ConceptMap'!$I$15:$N$273,Q86+1,R86)</f>
        <v>* group[=].element[=].target.comment = ##34#if contained##34#</v>
      </c>
    </row>
    <row r="87" spans="16:19" x14ac:dyDescent="0.75">
      <c r="P87" s="7">
        <v>73</v>
      </c>
      <c r="Q87" s="7">
        <f t="shared" si="6"/>
        <v>12</v>
      </c>
      <c r="R87" s="7">
        <f t="shared" ref="R87:R91" si="16">IF(MOD(P87,$Q$8)=0,$Q$8,MOD(P87,$Q$8))</f>
        <v>1</v>
      </c>
      <c r="S87" s="10" t="str" cm="1">
        <f t="array" ref="S87">INDEX('Product-ConceptMap'!$I$15:$N$273,Q87+1,R87)</f>
        <v>* group[=].element[+].code = #MedicinalProduct.PackageSize</v>
      </c>
    </row>
    <row r="88" spans="16:19" x14ac:dyDescent="0.75">
      <c r="P88" s="7">
        <v>74</v>
      </c>
      <c r="Q88" s="7">
        <f t="shared" si="6"/>
        <v>12</v>
      </c>
      <c r="R88" s="7">
        <f t="shared" si="16"/>
        <v>2</v>
      </c>
      <c r="S88" s="10" t="str" cm="1">
        <f t="array" ref="S88">INDEX('Product-ConceptMap'!$I$15:$N$273,Q88+1,R88)</f>
        <v>* group[=].element[=].display = ##34#A.1.4.9 Pack size##34#</v>
      </c>
    </row>
    <row r="89" spans="16:19" x14ac:dyDescent="0.75">
      <c r="P89" s="7">
        <v>75</v>
      </c>
      <c r="Q89" s="7">
        <f t="shared" si="6"/>
        <v>12</v>
      </c>
      <c r="R89" s="7">
        <f t="shared" si="16"/>
        <v>3</v>
      </c>
      <c r="S89" s="10" t="str" cm="1">
        <f t="array" ref="S89">INDEX('Product-ConceptMap'!$I$15:$N$273,Q89+1,R89)</f>
        <v>* group[=].element[=].target.code = #Medication.contained.packaging.quantity</v>
      </c>
    </row>
    <row r="90" spans="16:19" x14ac:dyDescent="0.75">
      <c r="P90" s="7">
        <v>76</v>
      </c>
      <c r="Q90" s="7">
        <f t="shared" si="6"/>
        <v>12</v>
      </c>
      <c r="R90" s="7">
        <f t="shared" si="16"/>
        <v>4</v>
      </c>
      <c r="S90" s="10" t="str" cm="1">
        <f t="array" ref="S90">INDEX('Product-ConceptMap'!$I$15:$N$273,Q90+1,R90)</f>
        <v>* group[=].element[=].target.display = ##34###34#</v>
      </c>
    </row>
    <row r="91" spans="16:19" x14ac:dyDescent="0.75">
      <c r="P91" s="7">
        <v>77</v>
      </c>
      <c r="Q91" s="7">
        <f t="shared" si="6"/>
        <v>12</v>
      </c>
      <c r="R91" s="7">
        <f t="shared" si="16"/>
        <v>5</v>
      </c>
      <c r="S91" s="10" t="str" cm="1">
        <f t="array" ref="S91">INDEX('Product-ConceptMap'!$I$15:$N$273,Q91+1,R91)</f>
        <v>* group[=].element[=].target.equivalence = #relatedto</v>
      </c>
    </row>
    <row r="92" spans="16:19" x14ac:dyDescent="0.75">
      <c r="P92" s="7">
        <v>78</v>
      </c>
      <c r="Q92" s="7">
        <f>IF(MOD(P92,$Q$8)=0,P92/$Q$8-1,INT(P92/$Q$8))</f>
        <v>12</v>
      </c>
      <c r="R92" s="7">
        <f>IF(MOD(P92,$Q$8)=0,$Q$8,MOD(P92,$Q$8))</f>
        <v>6</v>
      </c>
      <c r="S92" s="10" t="str" cm="1">
        <f t="array" ref="S92">INDEX('Product-ConceptMap'!$I$15:$N$273,Q92+1,R92)</f>
        <v>* group[=].element[=].target.comment = ##34#if contained##34#</v>
      </c>
    </row>
    <row r="93" spans="16:19" x14ac:dyDescent="0.75">
      <c r="P93" s="7">
        <v>79</v>
      </c>
      <c r="Q93" s="7">
        <f t="shared" si="6"/>
        <v>13</v>
      </c>
      <c r="R93" s="7">
        <f t="shared" ref="R93:R112" si="17">IF(MOD(P93,$Q$8)=0,$Q$8,MOD(P93,$Q$8))</f>
        <v>1</v>
      </c>
      <c r="S93" s="10" t="str" cm="1">
        <f t="array" ref="S93">INDEX('Product-ConceptMap'!$I$15:$N$273,Q93+1,R93)</f>
        <v>* group[=].element[+].code = #MedicinalProduct.packageType</v>
      </c>
    </row>
    <row r="94" spans="16:19" x14ac:dyDescent="0.75">
      <c r="P94" s="7">
        <v>80</v>
      </c>
      <c r="Q94" s="7">
        <f t="shared" si="6"/>
        <v>13</v>
      </c>
      <c r="R94" s="7">
        <f t="shared" si="17"/>
        <v>2</v>
      </c>
      <c r="S94" s="10" t="str" cm="1">
        <f t="array" ref="S94">INDEX('Product-ConceptMap'!$I$15:$N$273,Q94+1,R94)</f>
        <v>* group[=].element[=].display = ##34#A.1.4.8 Package type##34#</v>
      </c>
    </row>
    <row r="95" spans="16:19" ht="29.5" x14ac:dyDescent="0.75">
      <c r="P95" s="7">
        <v>81</v>
      </c>
      <c r="Q95" s="7">
        <f t="shared" si="6"/>
        <v>13</v>
      </c>
      <c r="R95" s="7">
        <f t="shared" si="17"/>
        <v>3</v>
      </c>
      <c r="S95" s="10" t="str" cm="1">
        <f t="array" ref="S95">INDEX('Product-ConceptMap'!$I$15:$N$273,Q95+1,R95)</f>
        <v>* group[=].element[=].target.code = #Medication.extension(definition).ValueReference</v>
      </c>
    </row>
    <row r="96" spans="16:19" x14ac:dyDescent="0.75">
      <c r="P96" s="7">
        <v>82</v>
      </c>
      <c r="Q96" s="7">
        <f t="shared" si="6"/>
        <v>13</v>
      </c>
      <c r="R96" s="7">
        <f t="shared" si="17"/>
        <v>4</v>
      </c>
      <c r="S96" s="10" t="str" cm="1">
        <f t="array" ref="S96">INDEX('Product-ConceptMap'!$I$15:$N$273,Q96+1,R96)</f>
        <v>* group[=].element[=].target.display = ##34###34#</v>
      </c>
    </row>
    <row r="97" spans="16:19" x14ac:dyDescent="0.75">
      <c r="P97" s="7">
        <v>83</v>
      </c>
      <c r="Q97" s="7">
        <f t="shared" si="6"/>
        <v>13</v>
      </c>
      <c r="R97" s="7">
        <f t="shared" si="17"/>
        <v>5</v>
      </c>
      <c r="S97" s="10" t="str" cm="1">
        <f t="array" ref="S97">INDEX('Product-ConceptMap'!$I$15:$N$273,Q97+1,R97)</f>
        <v>* group[=].element[=].target.equivalence = #relatedto</v>
      </c>
    </row>
    <row r="98" spans="16:19" ht="29.5" x14ac:dyDescent="0.75">
      <c r="P98" s="7">
        <v>84</v>
      </c>
      <c r="Q98" s="7">
        <f t="shared" si="6"/>
        <v>13</v>
      </c>
      <c r="R98" s="7">
        <f t="shared" si="17"/>
        <v>6</v>
      </c>
      <c r="S98" s="10" t="str" cm="1">
        <f t="array" ref="S98">INDEX('Product-ConceptMap'!$I$15:$N$273,Q98+1,R98)</f>
        <v>* group[=].element[=].target.comment = ##34#MedicationKnowledge.packaging.type##34#</v>
      </c>
    </row>
    <row r="99" spans="16:19" x14ac:dyDescent="0.75">
      <c r="P99" s="7">
        <v>85</v>
      </c>
      <c r="Q99" s="7">
        <f t="shared" si="6"/>
        <v>14</v>
      </c>
      <c r="R99" s="7">
        <f t="shared" si="17"/>
        <v>1</v>
      </c>
      <c r="S99" s="10" t="str" cm="1">
        <f t="array" ref="S99">INDEX('Product-ConceptMap'!$I$15:$N$273,Q99+1,R99)</f>
        <v>* group[=].element[+].code = #MedicinalProduct.PackageSize</v>
      </c>
    </row>
    <row r="100" spans="16:19" x14ac:dyDescent="0.75">
      <c r="P100" s="7">
        <v>86</v>
      </c>
      <c r="Q100" s="7">
        <f t="shared" si="6"/>
        <v>14</v>
      </c>
      <c r="R100" s="7">
        <f t="shared" si="17"/>
        <v>2</v>
      </c>
      <c r="S100" s="10" t="str" cm="1">
        <f t="array" ref="S100">INDEX('Product-ConceptMap'!$I$15:$N$273,Q100+1,R100)</f>
        <v>* group[=].element[=].display = ##34#A.1.4.9 Pack size##34#</v>
      </c>
    </row>
    <row r="101" spans="16:19" ht="29.5" x14ac:dyDescent="0.75">
      <c r="P101" s="7">
        <v>87</v>
      </c>
      <c r="Q101" s="7">
        <f t="shared" si="6"/>
        <v>14</v>
      </c>
      <c r="R101" s="7">
        <f t="shared" si="17"/>
        <v>3</v>
      </c>
      <c r="S101" s="10" t="str" cm="1">
        <f t="array" ref="S101">INDEX('Product-ConceptMap'!$I$15:$N$273,Q101+1,R101)</f>
        <v>* group[=].element[=].target.code = #Medication.extension(definition).ValueReference</v>
      </c>
    </row>
    <row r="102" spans="16:19" x14ac:dyDescent="0.75">
      <c r="P102" s="7">
        <v>88</v>
      </c>
      <c r="Q102" s="7">
        <f t="shared" si="6"/>
        <v>14</v>
      </c>
      <c r="R102" s="7">
        <f t="shared" si="17"/>
        <v>4</v>
      </c>
      <c r="S102" s="10" t="str" cm="1">
        <f t="array" ref="S102">INDEX('Product-ConceptMap'!$I$15:$N$273,Q102+1,R102)</f>
        <v>* group[=].element[=].target.display = ##34###34#</v>
      </c>
    </row>
    <row r="103" spans="16:19" x14ac:dyDescent="0.75">
      <c r="P103" s="7">
        <v>89</v>
      </c>
      <c r="Q103" s="7">
        <f t="shared" si="6"/>
        <v>14</v>
      </c>
      <c r="R103" s="7">
        <f t="shared" si="17"/>
        <v>5</v>
      </c>
      <c r="S103" s="10" t="str" cm="1">
        <f t="array" ref="S103">INDEX('Product-ConceptMap'!$I$15:$N$273,Q103+1,R103)</f>
        <v>* group[=].element[=].target.equivalence = #relatedto</v>
      </c>
    </row>
    <row r="104" spans="16:19" ht="29.5" x14ac:dyDescent="0.75">
      <c r="P104" s="7">
        <v>90</v>
      </c>
      <c r="Q104" s="7">
        <f t="shared" si="6"/>
        <v>14</v>
      </c>
      <c r="R104" s="7">
        <f t="shared" si="17"/>
        <v>6</v>
      </c>
      <c r="S104" s="10" t="str" cm="1">
        <f t="array" ref="S104">INDEX('Product-ConceptMap'!$I$15:$N$273,Q104+1,R104)</f>
        <v>* group[=].element[=].target.comment = ##34#MedicationKnowledge.packaging.quantity##34#</v>
      </c>
    </row>
    <row r="105" spans="16:19" x14ac:dyDescent="0.75">
      <c r="P105" s="7">
        <v>91</v>
      </c>
      <c r="Q105" s="7">
        <f t="shared" si="6"/>
        <v>15</v>
      </c>
      <c r="R105" s="7">
        <f t="shared" si="17"/>
        <v>1</v>
      </c>
      <c r="S105" s="10" cm="1">
        <f t="array" ref="S105">INDEX('Product-ConceptMap'!$I$15:$N$273,Q105+1,R105)</f>
        <v>0</v>
      </c>
    </row>
    <row r="106" spans="16:19" x14ac:dyDescent="0.75">
      <c r="P106" s="7">
        <v>92</v>
      </c>
      <c r="Q106" s="7">
        <f t="shared" si="6"/>
        <v>15</v>
      </c>
      <c r="R106" s="7">
        <f t="shared" si="17"/>
        <v>2</v>
      </c>
      <c r="S106" s="10" cm="1">
        <f t="array" ref="S106">INDEX('Product-ConceptMap'!$I$15:$N$273,Q106+1,R106)</f>
        <v>0</v>
      </c>
    </row>
    <row r="107" spans="16:19" x14ac:dyDescent="0.75">
      <c r="P107" s="7">
        <v>93</v>
      </c>
      <c r="Q107" s="7">
        <f t="shared" si="6"/>
        <v>15</v>
      </c>
      <c r="R107" s="7">
        <f t="shared" si="17"/>
        <v>3</v>
      </c>
      <c r="S107" s="10" cm="1">
        <f t="array" ref="S107">INDEX('Product-ConceptMap'!$I$15:$N$273,Q107+1,R107)</f>
        <v>0</v>
      </c>
    </row>
    <row r="108" spans="16:19" x14ac:dyDescent="0.75">
      <c r="P108" s="7">
        <v>94</v>
      </c>
      <c r="Q108" s="7">
        <f t="shared" si="6"/>
        <v>15</v>
      </c>
      <c r="R108" s="7">
        <f t="shared" si="17"/>
        <v>4</v>
      </c>
      <c r="S108" s="10" cm="1">
        <f t="array" ref="S108">INDEX('Product-ConceptMap'!$I$15:$N$273,Q108+1,R108)</f>
        <v>0</v>
      </c>
    </row>
    <row r="109" spans="16:19" x14ac:dyDescent="0.75">
      <c r="P109" s="7">
        <v>95</v>
      </c>
      <c r="Q109" s="7">
        <f t="shared" si="6"/>
        <v>15</v>
      </c>
      <c r="R109" s="7">
        <f t="shared" si="17"/>
        <v>5</v>
      </c>
      <c r="S109" s="10" cm="1">
        <f t="array" ref="S109">INDEX('Product-ConceptMap'!$I$15:$N$273,Q109+1,R109)</f>
        <v>0</v>
      </c>
    </row>
    <row r="110" spans="16:19" x14ac:dyDescent="0.75">
      <c r="P110" s="7">
        <v>96</v>
      </c>
      <c r="Q110" s="7">
        <f t="shared" si="6"/>
        <v>15</v>
      </c>
      <c r="R110" s="7">
        <f t="shared" si="17"/>
        <v>6</v>
      </c>
      <c r="S110" s="10" cm="1">
        <f t="array" ref="S110">INDEX('Product-ConceptMap'!$I$15:$N$273,Q110+1,R110)</f>
        <v>0</v>
      </c>
    </row>
    <row r="111" spans="16:19" x14ac:dyDescent="0.75">
      <c r="P111" s="7">
        <v>97</v>
      </c>
      <c r="Q111" s="7">
        <f t="shared" si="6"/>
        <v>16</v>
      </c>
      <c r="R111" s="7">
        <f t="shared" si="17"/>
        <v>1</v>
      </c>
      <c r="S111" s="10" cm="1">
        <f t="array" ref="S111">INDEX('Product-ConceptMap'!$I$15:$N$273,Q111+1,R111)</f>
        <v>0</v>
      </c>
    </row>
    <row r="112" spans="16:19" x14ac:dyDescent="0.75">
      <c r="P112" s="7">
        <v>98</v>
      </c>
      <c r="Q112" s="7">
        <f t="shared" si="6"/>
        <v>16</v>
      </c>
      <c r="R112" s="7">
        <f t="shared" si="17"/>
        <v>2</v>
      </c>
      <c r="S112" s="10" cm="1">
        <f t="array" ref="S112">INDEX('Product-ConceptMap'!$I$15:$N$273,Q112+1,R112)</f>
        <v>0</v>
      </c>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c r="Q121" s="7"/>
      <c r="R121" s="7"/>
      <c r="S121" s="10"/>
    </row>
    <row r="122" spans="16:19" x14ac:dyDescent="0.75">
      <c r="P122" s="7"/>
      <c r="Q122" s="7"/>
      <c r="R122" s="7"/>
      <c r="S122" s="10"/>
    </row>
    <row r="123" spans="16:19" x14ac:dyDescent="0.75">
      <c r="P123" s="7"/>
      <c r="Q123" s="7"/>
      <c r="R123" s="7"/>
      <c r="S123" s="10"/>
    </row>
    <row r="124" spans="16:19" x14ac:dyDescent="0.75">
      <c r="P124" s="7"/>
      <c r="Q124" s="7"/>
      <c r="R124" s="7"/>
      <c r="S124" s="10"/>
    </row>
    <row r="125" spans="16:19" x14ac:dyDescent="0.75">
      <c r="P125" s="7"/>
      <c r="Q125" s="7"/>
      <c r="R125" s="7"/>
      <c r="S125" s="10"/>
    </row>
    <row r="126" spans="16:19" x14ac:dyDescent="0.75">
      <c r="P126" s="7"/>
      <c r="Q126" s="7"/>
      <c r="R126" s="7"/>
      <c r="S126" s="10"/>
    </row>
    <row r="127" spans="16:19" x14ac:dyDescent="0.75">
      <c r="P127" s="7"/>
      <c r="Q127" s="7"/>
      <c r="R127" s="7"/>
      <c r="S127" s="10"/>
    </row>
    <row r="128" spans="16:19" x14ac:dyDescent="0.75">
      <c r="P128" s="7"/>
      <c r="Q128" s="7"/>
      <c r="R128" s="7"/>
      <c r="S128" s="10"/>
    </row>
    <row r="129" spans="16:19" x14ac:dyDescent="0.75">
      <c r="P129" s="7"/>
      <c r="Q129" s="7"/>
      <c r="R129" s="7"/>
      <c r="S129" s="10"/>
    </row>
    <row r="130" spans="16:19" x14ac:dyDescent="0.75">
      <c r="P130" s="7"/>
      <c r="Q130" s="7"/>
      <c r="R130" s="7"/>
      <c r="S130" s="10"/>
    </row>
    <row r="131" spans="16:19" x14ac:dyDescent="0.75">
      <c r="P131" s="7"/>
      <c r="Q131" s="7"/>
      <c r="R131" s="7"/>
      <c r="S131" s="10"/>
    </row>
    <row r="132" spans="16:19" x14ac:dyDescent="0.75">
      <c r="P132" s="7"/>
      <c r="Q132" s="7"/>
      <c r="R132" s="7"/>
      <c r="S132" s="10"/>
    </row>
    <row r="133" spans="16:19" x14ac:dyDescent="0.75">
      <c r="P133" s="7"/>
      <c r="Q133" s="7"/>
      <c r="R133" s="7"/>
      <c r="S133" s="10"/>
    </row>
    <row r="134" spans="16:19" x14ac:dyDescent="0.75">
      <c r="P134" s="7"/>
      <c r="Q134" s="7"/>
      <c r="R134" s="7"/>
      <c r="S134" s="10"/>
    </row>
    <row r="135" spans="16:19" x14ac:dyDescent="0.75">
      <c r="P135" s="7"/>
      <c r="Q135" s="7"/>
      <c r="R135" s="7"/>
      <c r="S135" s="10"/>
    </row>
    <row r="136" spans="16:19" x14ac:dyDescent="0.75">
      <c r="P136" s="7"/>
      <c r="Q136" s="7"/>
      <c r="R136" s="7"/>
      <c r="S136" s="10"/>
    </row>
    <row r="137" spans="16:19" x14ac:dyDescent="0.75">
      <c r="P137" s="7"/>
      <c r="Q137" s="7"/>
      <c r="R137" s="7"/>
      <c r="S137" s="10"/>
    </row>
    <row r="138" spans="16:19" x14ac:dyDescent="0.75">
      <c r="P138" s="7"/>
      <c r="Q138" s="7"/>
      <c r="R138" s="7"/>
      <c r="S138" s="10"/>
    </row>
    <row r="139" spans="16:19" x14ac:dyDescent="0.75">
      <c r="P139" s="7"/>
      <c r="Q139" s="7"/>
      <c r="R139" s="7"/>
      <c r="S139" s="10"/>
    </row>
    <row r="140" spans="16:19" x14ac:dyDescent="0.75">
      <c r="P140" s="7"/>
      <c r="Q140" s="7"/>
      <c r="R140" s="7"/>
      <c r="S140" s="10"/>
    </row>
    <row r="141" spans="16:19" x14ac:dyDescent="0.75">
      <c r="P141" s="7"/>
      <c r="Q141" s="7"/>
      <c r="R141" s="7"/>
      <c r="S141" s="10"/>
    </row>
    <row r="142" spans="16:19" x14ac:dyDescent="0.75">
      <c r="P142" s="7"/>
      <c r="Q142" s="7"/>
      <c r="R142" s="7"/>
      <c r="S142" s="10"/>
    </row>
    <row r="143" spans="16:19" x14ac:dyDescent="0.75">
      <c r="P143" s="7"/>
      <c r="Q143" s="7"/>
      <c r="R143" s="7"/>
      <c r="S143" s="10"/>
    </row>
    <row r="144" spans="16:19" x14ac:dyDescent="0.75">
      <c r="P144" s="7"/>
      <c r="Q144" s="7"/>
      <c r="R144" s="7"/>
      <c r="S144" s="10"/>
    </row>
    <row r="145" spans="16:19" x14ac:dyDescent="0.75">
      <c r="P145" s="7"/>
      <c r="Q145" s="7"/>
      <c r="R145" s="7"/>
      <c r="S145" s="10"/>
    </row>
    <row r="146" spans="16:19" x14ac:dyDescent="0.75">
      <c r="P146" s="7"/>
      <c r="Q146" s="7"/>
      <c r="R146" s="7"/>
      <c r="S146" s="10"/>
    </row>
    <row r="147" spans="16:19" x14ac:dyDescent="0.75">
      <c r="P147" s="7"/>
      <c r="Q147" s="7"/>
      <c r="R147" s="7"/>
      <c r="S147" s="10"/>
    </row>
    <row r="148" spans="16:19" x14ac:dyDescent="0.75">
      <c r="P148" s="7"/>
      <c r="Q148" s="7"/>
      <c r="R148" s="7"/>
      <c r="S148" s="10"/>
    </row>
    <row r="149" spans="16:19" x14ac:dyDescent="0.75">
      <c r="P149" s="7"/>
      <c r="Q149" s="7"/>
      <c r="R149" s="7"/>
      <c r="S149" s="10"/>
    </row>
    <row r="150" spans="16:19" x14ac:dyDescent="0.75">
      <c r="P150" s="7"/>
      <c r="Q150" s="7"/>
      <c r="R150" s="7"/>
      <c r="S150" s="10"/>
    </row>
    <row r="151" spans="16:19" x14ac:dyDescent="0.75">
      <c r="P151" s="7"/>
      <c r="Q151" s="7"/>
      <c r="R151" s="7"/>
      <c r="S151" s="10"/>
    </row>
    <row r="152" spans="16:19" x14ac:dyDescent="0.75">
      <c r="P152" s="7"/>
      <c r="Q152" s="7"/>
      <c r="R152" s="7"/>
      <c r="S152" s="10"/>
    </row>
    <row r="153" spans="16:19" x14ac:dyDescent="0.75">
      <c r="P153" s="7"/>
      <c r="Q153" s="7"/>
      <c r="R153" s="7"/>
      <c r="S153" s="10"/>
    </row>
    <row r="154" spans="16:19" x14ac:dyDescent="0.75">
      <c r="P154" s="7"/>
      <c r="Q154" s="7"/>
      <c r="R154" s="7"/>
      <c r="S154" s="10"/>
    </row>
    <row r="155" spans="16:19" x14ac:dyDescent="0.75">
      <c r="P155" s="7"/>
      <c r="Q155" s="7"/>
      <c r="R155" s="7"/>
      <c r="S155" s="10"/>
    </row>
    <row r="156" spans="16:19" x14ac:dyDescent="0.75">
      <c r="P156" s="7"/>
      <c r="Q156" s="7"/>
      <c r="R156" s="7"/>
      <c r="S156" s="10"/>
    </row>
    <row r="157" spans="16:19" x14ac:dyDescent="0.75">
      <c r="P157" s="7"/>
      <c r="Q157" s="7"/>
      <c r="R157" s="7"/>
      <c r="S157" s="10"/>
    </row>
    <row r="158" spans="16:19" x14ac:dyDescent="0.75">
      <c r="P158" s="7"/>
      <c r="Q158" s="7"/>
      <c r="R158" s="7"/>
      <c r="S158" s="10"/>
    </row>
    <row r="159" spans="16:19" x14ac:dyDescent="0.75">
      <c r="P159" s="7"/>
      <c r="Q159" s="7"/>
      <c r="R159" s="7"/>
      <c r="S159" s="10"/>
    </row>
    <row r="160" spans="16:19" x14ac:dyDescent="0.75">
      <c r="P160" s="7"/>
      <c r="Q160" s="7"/>
      <c r="R160" s="7"/>
      <c r="S160" s="10"/>
    </row>
    <row r="161" spans="16:19" x14ac:dyDescent="0.75">
      <c r="P161" s="7"/>
      <c r="Q161" s="7"/>
      <c r="R161" s="7"/>
      <c r="S161" s="10"/>
    </row>
    <row r="162" spans="16:19" x14ac:dyDescent="0.75">
      <c r="P162" s="7"/>
      <c r="Q162" s="7"/>
      <c r="R162" s="7"/>
      <c r="S162" s="10"/>
    </row>
    <row r="163" spans="16:19" x14ac:dyDescent="0.75">
      <c r="P163" s="7"/>
      <c r="Q163" s="7"/>
      <c r="R163" s="7"/>
      <c r="S163" s="10"/>
    </row>
    <row r="164" spans="16:19" x14ac:dyDescent="0.75">
      <c r="P164" s="7"/>
      <c r="Q164" s="7"/>
      <c r="R164" s="7"/>
      <c r="S164" s="10"/>
    </row>
    <row r="165" spans="16:19" x14ac:dyDescent="0.75">
      <c r="P165" s="7"/>
      <c r="Q165" s="7"/>
      <c r="R165" s="7"/>
      <c r="S165" s="10"/>
    </row>
    <row r="166" spans="16:19" x14ac:dyDescent="0.75">
      <c r="P166" s="7"/>
      <c r="Q166" s="7"/>
      <c r="R166" s="7"/>
      <c r="S166" s="10"/>
    </row>
    <row r="167" spans="16:19" x14ac:dyDescent="0.75">
      <c r="P167" s="7"/>
      <c r="Q167" s="7"/>
      <c r="R167" s="7"/>
      <c r="S167" s="10"/>
    </row>
    <row r="168" spans="16:19" x14ac:dyDescent="0.75">
      <c r="P168" s="7"/>
      <c r="Q168" s="7"/>
      <c r="R168" s="7"/>
      <c r="S168" s="10"/>
    </row>
    <row r="169" spans="16:19" x14ac:dyDescent="0.75">
      <c r="P169" s="7"/>
      <c r="Q169" s="7"/>
      <c r="R169" s="7"/>
      <c r="S169" s="10"/>
    </row>
    <row r="170" spans="16:19" x14ac:dyDescent="0.75">
      <c r="P170" s="7"/>
      <c r="Q170" s="7"/>
      <c r="R170" s="7"/>
      <c r="S170" s="10"/>
    </row>
    <row r="171" spans="16:19" x14ac:dyDescent="0.75">
      <c r="P171" s="7"/>
      <c r="Q171" s="7"/>
      <c r="R171" s="7"/>
      <c r="S171" s="10"/>
    </row>
    <row r="172" spans="16:19" x14ac:dyDescent="0.75">
      <c r="P172" s="7"/>
      <c r="Q172" s="7"/>
      <c r="R172" s="7"/>
      <c r="S172" s="10"/>
    </row>
    <row r="173" spans="16:19" x14ac:dyDescent="0.75">
      <c r="P173" s="7"/>
      <c r="Q173" s="7"/>
      <c r="R173" s="7"/>
      <c r="S173" s="10"/>
    </row>
    <row r="174" spans="16:19" x14ac:dyDescent="0.75">
      <c r="P174" s="7"/>
      <c r="Q174" s="7"/>
      <c r="R174" s="7"/>
      <c r="S174" s="10"/>
    </row>
    <row r="175" spans="16:19" x14ac:dyDescent="0.75">
      <c r="P175" s="7"/>
      <c r="Q175" s="7"/>
      <c r="R175" s="7"/>
      <c r="S175" s="10"/>
    </row>
    <row r="176" spans="16:19" x14ac:dyDescent="0.75">
      <c r="P176" s="7"/>
      <c r="Q176" s="7"/>
      <c r="R176" s="7"/>
      <c r="S176" s="10"/>
    </row>
    <row r="177" spans="16:19" x14ac:dyDescent="0.75">
      <c r="P177" s="7"/>
      <c r="Q177" s="7"/>
      <c r="R177" s="7"/>
      <c r="S177" s="10"/>
    </row>
    <row r="178" spans="16:19" x14ac:dyDescent="0.75">
      <c r="P178" s="7"/>
      <c r="Q178" s="7"/>
      <c r="R178" s="7"/>
      <c r="S178" s="10"/>
    </row>
    <row r="179" spans="16:19" x14ac:dyDescent="0.75">
      <c r="P179" s="7"/>
      <c r="Q179" s="7"/>
      <c r="R179" s="7"/>
      <c r="S179" s="10"/>
    </row>
    <row r="180" spans="16:19" x14ac:dyDescent="0.75">
      <c r="P180" s="7"/>
      <c r="Q180" s="7"/>
      <c r="R180" s="7"/>
      <c r="S180" s="10"/>
    </row>
    <row r="181" spans="16:19" x14ac:dyDescent="0.75">
      <c r="P181" s="7"/>
      <c r="Q181" s="7"/>
      <c r="R181" s="7"/>
      <c r="S181" s="10"/>
    </row>
    <row r="182" spans="16:19" x14ac:dyDescent="0.75">
      <c r="P182" s="7"/>
      <c r="Q182" s="7"/>
      <c r="R182" s="7"/>
      <c r="S182" s="10"/>
    </row>
    <row r="183" spans="16:19" x14ac:dyDescent="0.75">
      <c r="P183" s="7"/>
      <c r="Q183" s="7"/>
      <c r="R183" s="7"/>
      <c r="S183" s="10"/>
    </row>
    <row r="184" spans="16:19" x14ac:dyDescent="0.75">
      <c r="P184" s="7"/>
      <c r="Q184" s="7"/>
      <c r="R184" s="7"/>
      <c r="S184" s="10"/>
    </row>
    <row r="185" spans="16:19" x14ac:dyDescent="0.75">
      <c r="P185" s="7"/>
      <c r="Q185" s="7"/>
      <c r="R185" s="7"/>
      <c r="S185" s="10"/>
    </row>
    <row r="186" spans="16:19" x14ac:dyDescent="0.75">
      <c r="P186" s="7"/>
      <c r="Q186" s="7"/>
      <c r="R186" s="7"/>
      <c r="S186" s="10"/>
    </row>
    <row r="187" spans="16:19" x14ac:dyDescent="0.75">
      <c r="P187" s="7"/>
      <c r="Q187" s="7"/>
      <c r="R187" s="7"/>
      <c r="S187" s="10"/>
    </row>
    <row r="188" spans="16:19" x14ac:dyDescent="0.75">
      <c r="P188" s="7"/>
      <c r="Q188" s="7"/>
      <c r="R188" s="7"/>
      <c r="S188" s="10"/>
    </row>
    <row r="189" spans="16:19" x14ac:dyDescent="0.75">
      <c r="P189" s="7"/>
      <c r="Q189" s="7"/>
      <c r="R189" s="7"/>
      <c r="S189" s="10"/>
    </row>
    <row r="190" spans="16:19" x14ac:dyDescent="0.75">
      <c r="P190" s="7"/>
      <c r="Q190" s="7"/>
      <c r="R190" s="7"/>
      <c r="S190" s="10"/>
    </row>
    <row r="191" spans="16:19" x14ac:dyDescent="0.75">
      <c r="P191" s="7"/>
      <c r="Q191" s="7"/>
      <c r="R191" s="7"/>
      <c r="S191" s="10"/>
    </row>
    <row r="192" spans="16:19" x14ac:dyDescent="0.75">
      <c r="P192" s="7"/>
      <c r="Q192" s="7"/>
      <c r="R192" s="7"/>
      <c r="S192" s="10"/>
    </row>
    <row r="193" spans="16:19" x14ac:dyDescent="0.75">
      <c r="P193" s="7"/>
      <c r="Q193" s="7"/>
      <c r="R193" s="7"/>
      <c r="S193" s="10"/>
    </row>
  </sheetData>
  <mergeCells count="4">
    <mergeCell ref="E3:G3"/>
    <mergeCell ref="E4:G4"/>
    <mergeCell ref="E6:G6"/>
    <mergeCell ref="E7:G7"/>
  </mergeCells>
  <hyperlinks>
    <hyperlink ref="C1" r:id="rId1" xr:uid="{E9807076-62F2-449F-A8E9-DCE41144581C}"/>
    <hyperlink ref="E4" r:id="rId2" display="http://hl7.eu/fhir/ig/xpandh-mpd/StructureDefinition/MedicationRequest-eu-xpandh" xr:uid="{C0A215C0-9E7E-4D53-9C60-B20ACE0FB863}"/>
    <hyperlink ref="E7" r:id="rId3" display="http://hl7.eu/fhir/laboratory/StructureDefinition/Patient-eu-lab" xr:uid="{7E62B20E-145E-4315-8A99-108337D0729F}"/>
    <hyperlink ref="C6" r:id="rId4" xr:uid="{EC20FC66-3E4B-4991-A9EE-5FAD7DC44E0B}"/>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F01DB-D6DC-4D21-B9F5-EE3E7A8F8088}">
  <sheetPr codeName="Foglio70">
    <tabColor theme="0" tint="-0.34998626667073579"/>
  </sheetPr>
  <dimension ref="B1:G2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303</v>
      </c>
      <c r="G2" s="38" t="str">
        <f>'Product-ConceptMap'!C4&amp;".fsh"</f>
        <v>medProd2FHIR-eu-xpandh.fsh</v>
      </c>
    </row>
    <row r="3" spans="2:7" x14ac:dyDescent="0.75">
      <c r="B3" s="21" t="s">
        <v>21</v>
      </c>
    </row>
    <row r="4" spans="2:7" x14ac:dyDescent="0.75">
      <c r="B4" s="50" t="str">
        <f>"Instance: "&amp;'Product-ConceptMap'!C4</f>
        <v>Instance: medProd2FHIR-eu-xpandh</v>
      </c>
    </row>
    <row r="5" spans="2:7" x14ac:dyDescent="0.75">
      <c r="B5" s="50" t="s">
        <v>304</v>
      </c>
    </row>
    <row r="6" spans="2:7" x14ac:dyDescent="0.75">
      <c r="B6" s="50" t="s">
        <v>305</v>
      </c>
    </row>
    <row r="7" spans="2:7" x14ac:dyDescent="0.75">
      <c r="B7" s="50" t="s">
        <v>309</v>
      </c>
    </row>
    <row r="8" spans="2:7" x14ac:dyDescent="0.75">
      <c r="B8" s="50" t="str">
        <f>"* name = ##34#"&amp;'Product-ConceptMap'!C3&amp;"##34#"</f>
        <v>* name = ##34#MedProd2Fhir##34#</v>
      </c>
    </row>
    <row r="9" spans="2:7" x14ac:dyDescent="0.75">
      <c r="B9" s="50" t="str">
        <f>"* title = ##34#"&amp;'Product-ConceptMap'!C5&amp;"##34#"</f>
        <v>* title = ##34#eHN Medicinal Product to this guide Map##34#</v>
      </c>
    </row>
    <row r="10" spans="2:7" x14ac:dyDescent="0.75">
      <c r="B10" s="50" t="s">
        <v>306</v>
      </c>
    </row>
    <row r="11" spans="2:7" x14ac:dyDescent="0.75">
      <c r="B11" s="50" t="s">
        <v>307</v>
      </c>
    </row>
    <row r="12" spans="2:7" x14ac:dyDescent="0.75">
      <c r="B12" s="50" t="str">
        <f>"* description = ##34#"&amp;'Product-ConceptMap'!C8&amp;"##34#"</f>
        <v>* description = ##34#eHN Medicinal Product Model to this guide Map##34#</v>
      </c>
    </row>
    <row r="13" spans="2:7" x14ac:dyDescent="0.75">
      <c r="B13" s="50" t="str">
        <f>"* purpose = ##34#"&amp;'Product-ConceptMap'!C9&amp;"##34#"</f>
        <v>* purpose = ##34#It shows how the Medicinal Product data set defined by the EU eHN guidelines is mapped into this guide##34#</v>
      </c>
    </row>
    <row r="14" spans="2:7" x14ac:dyDescent="0.75">
      <c r="B14" s="51" t="str">
        <f>"* sourceUri = ##34#"&amp;'Product-ConceptMap'!E3&amp;"##34#"</f>
        <v>* sourceUri = ##34#http://hl7.eu/fhir/ig/xpandh-mpd/StructureDefinition/Prescription##34#</v>
      </c>
    </row>
    <row r="15" spans="2:7" x14ac:dyDescent="0.75">
      <c r="B15" s="51" t="str">
        <f>"* targetUri = ##34#"&amp;'Product-ConceptMap'!E4&amp;"##34#"</f>
        <v>* targetUri = ##34#http://hl7.eu/fhir/ig/xpandh-mpd//StructureDefinition/Medication-eu-xpandh##34#</v>
      </c>
    </row>
    <row r="16" spans="2:7" x14ac:dyDescent="0.75">
      <c r="B16" s="50"/>
    </row>
    <row r="17" spans="2:7" x14ac:dyDescent="0.75">
      <c r="B17" s="52" t="str">
        <f>"* group[+].source = ##34#"&amp;'Product-ConceptMap'!E6&amp;"##34#"</f>
        <v>* group[+].source = ##34#http://hl7.eu/fhir/ig/xpandh-mpd/StructureDefinition/Prescription##34#</v>
      </c>
    </row>
    <row r="18" spans="2:7" x14ac:dyDescent="0.75">
      <c r="B18" s="52" t="str">
        <f>"* group[=].target = ##34#"&amp;'Product-ConceptMap'!E7&amp;"##34#"</f>
        <v>* group[=].target = ##34#http://hl7.eu/fhir/ig/xpandh-mpd//StructureDefinition/Medication-eu-xpandh##34#</v>
      </c>
    </row>
    <row r="19" spans="2:7" x14ac:dyDescent="0.75">
      <c r="B19" s="54"/>
    </row>
    <row r="20" spans="2:7" x14ac:dyDescent="0.75">
      <c r="B20" s="10" t="str">
        <f>IF('Product-ConceptMap'!S15=0,"//---END",'Product-ConceptMap'!S15)</f>
        <v>* group[=].element[+].code = #MedicinalProduct.name</v>
      </c>
    </row>
    <row r="21" spans="2:7" x14ac:dyDescent="0.75">
      <c r="B21" s="10" t="str">
        <f>IF('Product-ConceptMap'!S16=0,"//---END",'Product-ConceptMap'!S16)</f>
        <v>* group[=].element[=].display = ##34#A.1.4.1 Name of the medicinal product##34#</v>
      </c>
    </row>
    <row r="22" spans="2:7" x14ac:dyDescent="0.75">
      <c r="B22" s="10" t="str">
        <f>IF('Product-ConceptMap'!S17=0,"//---END",'Product-ConceptMap'!S17)</f>
        <v>* group[=].element[=].target.code = #Medication.code.text</v>
      </c>
    </row>
    <row r="23" spans="2:7" x14ac:dyDescent="0.75">
      <c r="B23" s="10" t="str">
        <f>IF('Product-ConceptMap'!S18=0,"//---END",'Product-ConceptMap'!S18)</f>
        <v>* group[=].element[=].target.display = ##34###34#</v>
      </c>
    </row>
    <row r="24" spans="2:7" x14ac:dyDescent="0.75">
      <c r="B24" s="10" t="str">
        <f>IF('Product-ConceptMap'!S19=0,"//---END",'Product-ConceptMap'!S19)</f>
        <v>* group[=].element[=].target.equivalence = #relatedto</v>
      </c>
    </row>
    <row r="25" spans="2:7" x14ac:dyDescent="0.75">
      <c r="B25" s="10" t="str">
        <f>IF('Product-ConceptMap'!S20=0,"//---END",'Product-ConceptMap'!S20)</f>
        <v>* group[=].element[=].target.comment = ##34#to be checked##34#</v>
      </c>
      <c r="G25" s="8"/>
    </row>
    <row r="26" spans="2:7" x14ac:dyDescent="0.75">
      <c r="B26" s="10" t="str">
        <f>IF('Product-ConceptMap'!S21=0,"//---END",'Product-ConceptMap'!S21)</f>
        <v>* group[=].element[+].code = #MedicinalProduct.mpid</v>
      </c>
    </row>
    <row r="27" spans="2:7" x14ac:dyDescent="0.75">
      <c r="B27" s="10" t="str">
        <f>IF('Product-ConceptMap'!S22=0,"//---END",'Product-ConceptMap'!S22)</f>
        <v>* group[=].element[=].display = ##34#A.1.4.2 Identifier of the medicinal product##34#</v>
      </c>
    </row>
    <row r="28" spans="2:7" x14ac:dyDescent="0.75">
      <c r="B28" s="10" t="str">
        <f>IF('Product-ConceptMap'!S23=0,"//---END",'Product-ConceptMap'!S23)</f>
        <v>* group[=].element[=].target.code = #Medication.code.coding</v>
      </c>
    </row>
    <row r="29" spans="2:7" x14ac:dyDescent="0.75">
      <c r="B29" s="10" t="str">
        <f>IF('Product-ConceptMap'!S24=0,"//---END",'Product-ConceptMap'!S24)</f>
        <v>* group[=].element[=].target.display = ##34###34#</v>
      </c>
    </row>
    <row r="30" spans="2:7" x14ac:dyDescent="0.75">
      <c r="B30" s="10" t="str">
        <f>IF('Product-ConceptMap'!S25=0,"//---END",'Product-ConceptMap'!S25)</f>
        <v>* group[=].element[=].target.equivalence = #relatedto</v>
      </c>
    </row>
    <row r="31" spans="2:7" x14ac:dyDescent="0.75">
      <c r="B31" s="10" t="str">
        <f>IF('Product-ConceptMap'!S26=0,"//---END",'Product-ConceptMap'!S26)</f>
        <v>* group[=].element[=].target.comment = ##34#How it is implemented now in the IPS. TBD##34#</v>
      </c>
    </row>
    <row r="32" spans="2:7" x14ac:dyDescent="0.75">
      <c r="B32" s="10" t="str">
        <f>IF('Product-ConceptMap'!S27=0,"//---END",'Product-ConceptMap'!S27)</f>
        <v>* group[=].element[+].code = #MedicinalProduct.phpid</v>
      </c>
    </row>
    <row r="33" spans="2:2" x14ac:dyDescent="0.75">
      <c r="B33" s="10" t="str">
        <f>IF('Product-ConceptMap'!S28=0,"//---END",'Product-ConceptMap'!S28)</f>
        <v>* group[=].element[=].display = ##34#A.1.4.2.1 Identifier(s) of the pharmaceutical product##34#</v>
      </c>
    </row>
    <row r="34" spans="2:2" x14ac:dyDescent="0.75">
      <c r="B34" s="10" t="str">
        <f>IF('Product-ConceptMap'!S29=0,"//---END",'Product-ConceptMap'!S29)</f>
        <v>* group[=].element[=].target.code = #Medication.code.coding</v>
      </c>
    </row>
    <row r="35" spans="2:2" x14ac:dyDescent="0.75">
      <c r="B35" s="10" t="str">
        <f>IF('Product-ConceptMap'!S30=0,"//---END",'Product-ConceptMap'!S30)</f>
        <v>* group[=].element[=].target.display = ##34###34#</v>
      </c>
    </row>
    <row r="36" spans="2:2" x14ac:dyDescent="0.75">
      <c r="B36" s="10" t="str">
        <f>IF('Product-ConceptMap'!S31=0,"//---END",'Product-ConceptMap'!S31)</f>
        <v>* group[=].element[=].target.equivalence = #relatedto</v>
      </c>
    </row>
    <row r="37" spans="2:2" x14ac:dyDescent="0.75">
      <c r="B37" s="10" t="str">
        <f>IF('Product-ConceptMap'!S32=0,"//---END",'Product-ConceptMap'!S32)</f>
        <v>* group[=].element[=].target.comment = ##34#How it is implemented now in the IPS. TBD##34#</v>
      </c>
    </row>
    <row r="38" spans="2:2" x14ac:dyDescent="0.75">
      <c r="B38" s="10" t="str">
        <f>IF('Product-ConceptMap'!S33=0,"//---END",'Product-ConceptMap'!S33)</f>
        <v>* group[=].element[+].code = #MedicinalProduct.pcid</v>
      </c>
    </row>
    <row r="39" spans="2:2" x14ac:dyDescent="0.75">
      <c r="B39" s="10" t="str">
        <f>IF('Product-ConceptMap'!S34=0,"//---END",'Product-ConceptMap'!S34)</f>
        <v>* group[=].element[=].display = ##34#A.1.4.2.2 Identifier(s) of the packaged medicinal product##34#</v>
      </c>
    </row>
    <row r="40" spans="2:2" x14ac:dyDescent="0.75">
      <c r="B40" s="10" t="str">
        <f>IF('Product-ConceptMap'!S35=0,"//---END",'Product-ConceptMap'!S35)</f>
        <v>* group[=].element[=].target.code = #Medication.code.coding</v>
      </c>
    </row>
    <row r="41" spans="2:2" x14ac:dyDescent="0.75">
      <c r="B41" s="10" t="str">
        <f>IF('Product-ConceptMap'!S36=0,"//---END",'Product-ConceptMap'!S36)</f>
        <v>* group[=].element[=].target.display = ##34###34#</v>
      </c>
    </row>
    <row r="42" spans="2:2" x14ac:dyDescent="0.75">
      <c r="B42" s="10" t="str">
        <f>IF('Product-ConceptMap'!S37=0,"//---END",'Product-ConceptMap'!S37)</f>
        <v>* group[=].element[=].target.equivalence = #relatedto</v>
      </c>
    </row>
    <row r="43" spans="2:2" x14ac:dyDescent="0.75">
      <c r="B43" s="10" t="str">
        <f>IF('Product-ConceptMap'!S38=0,"//---END",'Product-ConceptMap'!S38)</f>
        <v>* group[=].element[=].target.comment = ##34#How it is implemented now in the IPS. TBD##34#</v>
      </c>
    </row>
    <row r="44" spans="2:2" x14ac:dyDescent="0.75">
      <c r="B44" s="10" t="str">
        <f>IF('Product-ConceptMap'!S39=0,"//---END",'Product-ConceptMap'!S39)</f>
        <v>* group[=].element[+].code = #MedicinalProduct.marketingAuthHolder</v>
      </c>
    </row>
    <row r="45" spans="2:2" x14ac:dyDescent="0.75">
      <c r="B45" s="10" t="str">
        <f>IF('Product-ConceptMap'!S40=0,"//---END",'Product-ConceptMap'!S40)</f>
        <v>* group[=].element[=].display = ##34#A.1.4.3 Marketing authorisation holder##34#</v>
      </c>
    </row>
    <row r="46" spans="2:2" x14ac:dyDescent="0.75">
      <c r="B46" s="10" t="str">
        <f>IF('Product-ConceptMap'!S41=0,"//---END",'Product-ConceptMap'!S41)</f>
        <v>* group[=].element[=].target.code = #Medication.manufacturer</v>
      </c>
    </row>
    <row r="47" spans="2:2" x14ac:dyDescent="0.75">
      <c r="B47" s="10" t="str">
        <f>IF('Product-ConceptMap'!S42=0,"//---END",'Product-ConceptMap'!S42)</f>
        <v>* group[=].element[=].target.display = ##34###34#</v>
      </c>
    </row>
    <row r="48" spans="2:2" x14ac:dyDescent="0.75">
      <c r="B48" s="10" t="str">
        <f>IF('Product-ConceptMap'!S43=0,"//---END",'Product-ConceptMap'!S43)</f>
        <v>* group[=].element[=].target.equivalence = #equivalent</v>
      </c>
    </row>
    <row r="49" spans="2:2" x14ac:dyDescent="0.75">
      <c r="B49" s="10" t="str">
        <f>IF('Product-ConceptMap'!S44=0,"//---END",'Product-ConceptMap'!S44)</f>
        <v/>
      </c>
    </row>
    <row r="50" spans="2:2" x14ac:dyDescent="0.75">
      <c r="B50" s="10" t="str">
        <f>IF('Product-ConceptMap'!S45=0,"//---END",'Product-ConceptMap'!S45)</f>
        <v>* group[=].element[+].code = #MedicinalProduct.activeSubstance</v>
      </c>
    </row>
    <row r="51" spans="2:2" x14ac:dyDescent="0.75">
      <c r="B51" s="10" t="str">
        <f>IF('Product-ConceptMap'!S46=0,"//---END",'Product-ConceptMap'!S46)</f>
        <v>* group[=].element[=].display = ##34#A.1.4.4 Active substance(s)##34#</v>
      </c>
    </row>
    <row r="52" spans="2:2" x14ac:dyDescent="0.75">
      <c r="B52" s="10" t="str">
        <f>IF('Product-ConceptMap'!S47=0,"//---END",'Product-ConceptMap'!S47)</f>
        <v>* group[=].element[=].target.code = #Medication.ingredient</v>
      </c>
    </row>
    <row r="53" spans="2:2" x14ac:dyDescent="0.75">
      <c r="B53" s="10" t="str">
        <f>IF('Product-ConceptMap'!S48=0,"//---END",'Product-ConceptMap'!S48)</f>
        <v>* group[=].element[=].target.display = ##34###34#</v>
      </c>
    </row>
    <row r="54" spans="2:2" x14ac:dyDescent="0.75">
      <c r="B54" s="10" t="str">
        <f>IF('Product-ConceptMap'!S49=0,"//---END",'Product-ConceptMap'!S49)</f>
        <v>* group[=].element[=].target.equivalence = #equivalent</v>
      </c>
    </row>
    <row r="55" spans="2:2" x14ac:dyDescent="0.75">
      <c r="B55" s="10" t="str">
        <f>IF('Product-ConceptMap'!S50=0,"//---END",'Product-ConceptMap'!S50)</f>
        <v>* group[=].element[=].target.comment = ##34#where isActitve = 'true'##34#</v>
      </c>
    </row>
    <row r="56" spans="2:2" x14ac:dyDescent="0.75">
      <c r="B56" s="10" t="str">
        <f>IF('Product-ConceptMap'!S51=0,"//---END",'Product-ConceptMap'!S51)</f>
        <v>* group[=].element[+].code = #MedicinalProduct.strength</v>
      </c>
    </row>
    <row r="57" spans="2:2" x14ac:dyDescent="0.75">
      <c r="B57" s="10" t="str">
        <f>IF('Product-ConceptMap'!S52=0,"//---END",'Product-ConceptMap'!S52)</f>
        <v>* group[=].element[=].display = ##34#A.1.4.4.1 Strength of the active substance(s)##34#</v>
      </c>
    </row>
    <row r="58" spans="2:2" x14ac:dyDescent="0.75">
      <c r="B58" s="10" t="str">
        <f>IF('Product-ConceptMap'!S53=0,"//---END",'Product-ConceptMap'!S53)</f>
        <v>* group[=].element[=].target.code = #Medication.ingredient.strength</v>
      </c>
    </row>
    <row r="59" spans="2:2" x14ac:dyDescent="0.75">
      <c r="B59" s="10" t="str">
        <f>IF('Product-ConceptMap'!S54=0,"//---END",'Product-ConceptMap'!S54)</f>
        <v>* group[=].element[=].target.display = ##34###34#</v>
      </c>
    </row>
    <row r="60" spans="2:2" x14ac:dyDescent="0.75">
      <c r="B60" s="10" t="str">
        <f>IF('Product-ConceptMap'!S55=0,"//---END",'Product-ConceptMap'!S55)</f>
        <v>* group[=].element[=].target.equivalence = #relatedto</v>
      </c>
    </row>
    <row r="61" spans="2:2" ht="29.5" x14ac:dyDescent="0.75">
      <c r="B61" s="10" t="str">
        <f>IF('Product-ConceptMap'!S56=0,"//---END",'Product-ConceptMap'!S56)</f>
        <v>* group[=].element[=].target.comment = ##34#only one kind of strength is provided.
Clarify how to provide ingredient and strength as text##34#</v>
      </c>
    </row>
    <row r="62" spans="2:2" x14ac:dyDescent="0.75">
      <c r="B62" s="10" t="str">
        <f>IF('Product-ConceptMap'!S57=0,"//---END",'Product-ConceptMap'!S57)</f>
        <v>* group[=].element[+].code = #MedicinalProduct.classification</v>
      </c>
    </row>
    <row r="63" spans="2:2" x14ac:dyDescent="0.75">
      <c r="B63" s="10" t="str">
        <f>IF('Product-ConceptMap'!S58=0,"//---END",'Product-ConceptMap'!S58)</f>
        <v>* group[=].element[=].display = ##34#A.1.4.5 Product classification ##34#</v>
      </c>
    </row>
    <row r="64" spans="2:2" x14ac:dyDescent="0.75">
      <c r="B64" s="10" t="str">
        <f>IF('Product-ConceptMap'!S59=0,"//---END",'Product-ConceptMap'!S59)</f>
        <v>* group[=].element[=].target.code = #Medication.extension(definition).ValueReference</v>
      </c>
    </row>
    <row r="65" spans="2:4" x14ac:dyDescent="0.75">
      <c r="B65" s="10" t="str">
        <f>IF('Product-ConceptMap'!S60=0,"//---END",'Product-ConceptMap'!S60)</f>
        <v>* group[=].element[=].target.display = ##34###34#</v>
      </c>
    </row>
    <row r="66" spans="2:4" x14ac:dyDescent="0.75">
      <c r="B66" s="10" t="str">
        <f>IF('Product-ConceptMap'!S61=0,"//---END",'Product-ConceptMap'!S61)</f>
        <v>* group[=].element[=].target.equivalence = #relatedto</v>
      </c>
    </row>
    <row r="67" spans="2:4" ht="29.5" x14ac:dyDescent="0.75">
      <c r="B67" s="10" t="str">
        <f>IF('Product-ConceptMap'!S62=0,"//---END",'Product-ConceptMap'!S62)</f>
        <v>* group[=].element[=].target.comment = ##34#MedicationKnowledge.medicineClassification.classification.
Type to be defined##34#</v>
      </c>
    </row>
    <row r="68" spans="2:4" x14ac:dyDescent="0.75">
      <c r="B68" s="10" t="str">
        <f>IF('Product-ConceptMap'!S63=0,"//---END",'Product-ConceptMap'!S63)</f>
        <v>* group[=].element[+].code = #MedicinalProduct.classification</v>
      </c>
    </row>
    <row r="69" spans="2:4" x14ac:dyDescent="0.75">
      <c r="B69" s="10" t="str">
        <f>IF('Product-ConceptMap'!S64=0,"//---END",'Product-ConceptMap'!S64)</f>
        <v>* group[=].element[=].display = ##34#A.1.4.5 Product classification ##34#</v>
      </c>
    </row>
    <row r="70" spans="2:4" x14ac:dyDescent="0.75">
      <c r="B70" s="10" t="str">
        <f>IF('Product-ConceptMap'!S65=0,"//---END",'Product-ConceptMap'!S65)</f>
        <v>* group[=].element[=].target.code = #Medication.code.coding</v>
      </c>
      <c r="D70" s="49"/>
    </row>
    <row r="71" spans="2:4" x14ac:dyDescent="0.75">
      <c r="B71" s="10" t="str">
        <f>IF('Product-ConceptMap'!S66=0,"//---END",'Product-ConceptMap'!S66)</f>
        <v>* group[=].element[=].target.display = ##34###34#</v>
      </c>
    </row>
    <row r="72" spans="2:4" x14ac:dyDescent="0.75">
      <c r="B72" s="10" t="str">
        <f>IF('Product-ConceptMap'!S67=0,"//---END",'Product-ConceptMap'!S67)</f>
        <v>* group[=].element[=].target.equivalence = #equivalent</v>
      </c>
    </row>
    <row r="73" spans="2:4" x14ac:dyDescent="0.75">
      <c r="B73" s="10" t="str">
        <f>IF('Product-ConceptMap'!S68=0,"//---END",'Product-ConceptMap'!S68)</f>
        <v>* group[=].element[=].target.comment = ##34#How it is implemented now in the IPS##34#</v>
      </c>
    </row>
    <row r="74" spans="2:4" x14ac:dyDescent="0.75">
      <c r="B74" s="10" t="str">
        <f>IF('Product-ConceptMap'!S69=0,"//---END",'Product-ConceptMap'!S69)</f>
        <v>* group[=].element[+].code = #MedicinalProduct.doseForm</v>
      </c>
    </row>
    <row r="75" spans="2:4" x14ac:dyDescent="0.75">
      <c r="B75" s="10" t="str">
        <f>IF('Product-ConceptMap'!S70=0,"//---END",'Product-ConceptMap'!S70)</f>
        <v>* group[=].element[=].display = ##34#A.1.4.6 Pharmaceutical dose form(s)##34#</v>
      </c>
    </row>
    <row r="76" spans="2:4" x14ac:dyDescent="0.75">
      <c r="B76" s="10" t="str">
        <f>IF('Product-ConceptMap'!S71=0,"//---END",'Product-ConceptMap'!S71)</f>
        <v>* group[=].element[=].target.code = #Medication.form</v>
      </c>
    </row>
    <row r="77" spans="2:4" x14ac:dyDescent="0.75">
      <c r="B77" s="10" t="str">
        <f>IF('Product-ConceptMap'!S72=0,"//---END",'Product-ConceptMap'!S72)</f>
        <v>* group[=].element[=].target.display = ##34###34#</v>
      </c>
    </row>
    <row r="78" spans="2:4" x14ac:dyDescent="0.75">
      <c r="B78" s="10" t="str">
        <f>IF('Product-ConceptMap'!S73=0,"//---END",'Product-ConceptMap'!S73)</f>
        <v>* group[=].element[=].target.equivalence = #relatedto</v>
      </c>
    </row>
    <row r="79" spans="2:4" x14ac:dyDescent="0.75">
      <c r="B79" s="10" t="str">
        <f>IF('Product-ConceptMap'!S74=0,"//---END",'Product-ConceptMap'!S74)</f>
        <v/>
      </c>
    </row>
    <row r="80" spans="2:4" x14ac:dyDescent="0.75">
      <c r="B80" s="10" t="str">
        <f>IF('Product-ConceptMap'!S75=0,"//---END",'Product-ConceptMap'!S75)</f>
        <v>* group[=].element[+].code = #MedicinalProduct.unitOfPresentation</v>
      </c>
    </row>
    <row r="81" spans="2:2" x14ac:dyDescent="0.75">
      <c r="B81" s="10" t="str">
        <f>IF('Product-ConceptMap'!S76=0,"//---END",'Product-ConceptMap'!S76)</f>
        <v>* group[=].element[=].display = ##34#A.1.4.7 Unit of presentation(s)##34#</v>
      </c>
    </row>
    <row r="82" spans="2:2" x14ac:dyDescent="0.75">
      <c r="B82" s="10" t="str">
        <f>IF('Product-ConceptMap'!S77=0,"//---END",'Product-ConceptMap'!S77)</f>
        <v>* group[=].element[=].target.code = #Medication.ingredient.strength.denominator.code</v>
      </c>
    </row>
    <row r="83" spans="2:2" x14ac:dyDescent="0.75">
      <c r="B83" s="10" t="str">
        <f>IF('Product-ConceptMap'!S78=0,"//---END",'Product-ConceptMap'!S78)</f>
        <v>* group[=].element[=].target.display = ##34###34#</v>
      </c>
    </row>
    <row r="84" spans="2:2" x14ac:dyDescent="0.75">
      <c r="B84" s="10" t="str">
        <f>IF('Product-ConceptMap'!S79=0,"//---END",'Product-ConceptMap'!S79)</f>
        <v>* group[=].element[=].target.equivalence = #equivalent</v>
      </c>
    </row>
    <row r="85" spans="2:2" x14ac:dyDescent="0.75">
      <c r="B85" s="10" t="str">
        <f>IF('Product-ConceptMap'!S80=0,"//---END",'Product-ConceptMap'!S80)</f>
        <v>* group[=].element[=].target.comment = ##34#if it is the presentation strength##34#</v>
      </c>
    </row>
    <row r="86" spans="2:2" x14ac:dyDescent="0.75">
      <c r="B86" s="10" t="str">
        <f>IF('Product-ConceptMap'!S81=0,"//---END",'Product-ConceptMap'!S81)</f>
        <v>* group[=].element[+].code = #MedicinalProduct.packageType</v>
      </c>
    </row>
    <row r="87" spans="2:2" x14ac:dyDescent="0.75">
      <c r="B87" s="10" t="str">
        <f>IF('Product-ConceptMap'!S82=0,"//---END",'Product-ConceptMap'!S82)</f>
        <v>* group[=].element[=].display = ##34#A.1.4.8 Package type##34#</v>
      </c>
    </row>
    <row r="88" spans="2:2" x14ac:dyDescent="0.75">
      <c r="B88" s="10" t="str">
        <f>IF('Product-ConceptMap'!S83=0,"//---END",'Product-ConceptMap'!S83)</f>
        <v>* group[=].element[=].target.code = #Medication.contained.packaging.type</v>
      </c>
    </row>
    <row r="89" spans="2:2" x14ac:dyDescent="0.75">
      <c r="B89" s="10" t="str">
        <f>IF('Product-ConceptMap'!S84=0,"//---END",'Product-ConceptMap'!S84)</f>
        <v>* group[=].element[=].target.display = ##34###34#</v>
      </c>
    </row>
    <row r="90" spans="2:2" x14ac:dyDescent="0.75">
      <c r="B90" s="10" t="str">
        <f>IF('Product-ConceptMap'!S85=0,"//---END",'Product-ConceptMap'!S85)</f>
        <v>* group[=].element[=].target.equivalence = #relatedto</v>
      </c>
    </row>
    <row r="91" spans="2:2" x14ac:dyDescent="0.75">
      <c r="B91" s="10" t="str">
        <f>IF('Product-ConceptMap'!S86=0,"//---END",'Product-ConceptMap'!S86)</f>
        <v>* group[=].element[=].target.comment = ##34#if contained##34#</v>
      </c>
    </row>
    <row r="92" spans="2:2" x14ac:dyDescent="0.75">
      <c r="B92" s="10" t="str">
        <f>IF('Product-ConceptMap'!S87=0,"//---END",'Product-ConceptMap'!S87)</f>
        <v>* group[=].element[+].code = #MedicinalProduct.PackageSize</v>
      </c>
    </row>
    <row r="93" spans="2:2" x14ac:dyDescent="0.75">
      <c r="B93" s="10" t="str">
        <f>IF('Product-ConceptMap'!S88=0,"//---END",'Product-ConceptMap'!S88)</f>
        <v>* group[=].element[=].display = ##34#A.1.4.9 Pack size##34#</v>
      </c>
    </row>
    <row r="94" spans="2:2" x14ac:dyDescent="0.75">
      <c r="B94" s="10" t="str">
        <f>IF('Product-ConceptMap'!S89=0,"//---END",'Product-ConceptMap'!S89)</f>
        <v>* group[=].element[=].target.code = #Medication.contained.packaging.quantity</v>
      </c>
    </row>
    <row r="95" spans="2:2" x14ac:dyDescent="0.75">
      <c r="B95" s="10" t="str">
        <f>IF('Product-ConceptMap'!S90=0,"//---END",'Product-ConceptMap'!S90)</f>
        <v>* group[=].element[=].target.display = ##34###34#</v>
      </c>
    </row>
    <row r="96" spans="2:2" x14ac:dyDescent="0.75">
      <c r="B96" s="10" t="str">
        <f>IF('Product-ConceptMap'!S91=0,"//---END",'Product-ConceptMap'!S91)</f>
        <v>* group[=].element[=].target.equivalence = #relatedto</v>
      </c>
    </row>
    <row r="97" spans="2:2" x14ac:dyDescent="0.75">
      <c r="B97" s="10" t="str">
        <f>IF('Product-ConceptMap'!S92=0,"//---END",'Product-ConceptMap'!S92)</f>
        <v>* group[=].element[=].target.comment = ##34#if contained##34#</v>
      </c>
    </row>
    <row r="98" spans="2:2" x14ac:dyDescent="0.75">
      <c r="B98" s="10" t="str">
        <f>IF('Product-ConceptMap'!S93=0,"//---END",'Product-ConceptMap'!S93)</f>
        <v>* group[=].element[+].code = #MedicinalProduct.packageType</v>
      </c>
    </row>
    <row r="99" spans="2:2" x14ac:dyDescent="0.75">
      <c r="B99" s="10" t="str">
        <f>IF('Product-ConceptMap'!S94=0,"//---END",'Product-ConceptMap'!S94)</f>
        <v>* group[=].element[=].display = ##34#A.1.4.8 Package type##34#</v>
      </c>
    </row>
    <row r="100" spans="2:2" x14ac:dyDescent="0.75">
      <c r="B100" s="10" t="str">
        <f>IF('Product-ConceptMap'!S95=0,"//---END",'Product-ConceptMap'!S95)</f>
        <v>* group[=].element[=].target.code = #Medication.extension(definition).ValueReference</v>
      </c>
    </row>
    <row r="101" spans="2:2" x14ac:dyDescent="0.75">
      <c r="B101" s="10" t="str">
        <f>IF('Product-ConceptMap'!S96=0,"//---END",'Product-ConceptMap'!S96)</f>
        <v>* group[=].element[=].target.display = ##34###34#</v>
      </c>
    </row>
    <row r="102" spans="2:2" x14ac:dyDescent="0.75">
      <c r="B102" s="10" t="str">
        <f>IF('Product-ConceptMap'!S97=0,"//---END",'Product-ConceptMap'!S97)</f>
        <v>* group[=].element[=].target.equivalence = #relatedto</v>
      </c>
    </row>
    <row r="103" spans="2:2" x14ac:dyDescent="0.75">
      <c r="B103" s="10" t="str">
        <f>IF('Product-ConceptMap'!S98=0,"//---END",'Product-ConceptMap'!S98)</f>
        <v>* group[=].element[=].target.comment = ##34#MedicationKnowledge.packaging.type##34#</v>
      </c>
    </row>
    <row r="104" spans="2:2" x14ac:dyDescent="0.75">
      <c r="B104" s="10" t="str">
        <f>IF('Product-ConceptMap'!S99=0,"//---END",'Product-ConceptMap'!S99)</f>
        <v>* group[=].element[+].code = #MedicinalProduct.PackageSize</v>
      </c>
    </row>
    <row r="105" spans="2:2" x14ac:dyDescent="0.75">
      <c r="B105" s="10" t="str">
        <f>IF('Product-ConceptMap'!S100=0,"//---END",'Product-ConceptMap'!S100)</f>
        <v>* group[=].element[=].display = ##34#A.1.4.9 Pack size##34#</v>
      </c>
    </row>
    <row r="106" spans="2:2" x14ac:dyDescent="0.75">
      <c r="B106" s="10" t="str">
        <f>IF('Product-ConceptMap'!S101=0,"//---END",'Product-ConceptMap'!S101)</f>
        <v>* group[=].element[=].target.code = #Medication.extension(definition).ValueReference</v>
      </c>
    </row>
    <row r="107" spans="2:2" x14ac:dyDescent="0.75">
      <c r="B107" s="10" t="str">
        <f>IF('Product-ConceptMap'!S102=0,"//---END",'Product-ConceptMap'!S102)</f>
        <v>* group[=].element[=].target.display = ##34###34#</v>
      </c>
    </row>
    <row r="108" spans="2:2" x14ac:dyDescent="0.75">
      <c r="B108" s="10" t="str">
        <f>IF('Product-ConceptMap'!S103=0,"//---END",'Product-ConceptMap'!S103)</f>
        <v>* group[=].element[=].target.equivalence = #relatedto</v>
      </c>
    </row>
    <row r="109" spans="2:2" x14ac:dyDescent="0.75">
      <c r="B109" s="10" t="str">
        <f>IF('Product-ConceptMap'!S104=0,"//---END",'Product-ConceptMap'!S104)</f>
        <v>* group[=].element[=].target.comment = ##34#MedicationKnowledge.packaging.quantity##34#</v>
      </c>
    </row>
    <row r="110" spans="2:2" x14ac:dyDescent="0.75">
      <c r="B110" s="10" t="str">
        <f>IF('Product-ConceptMap'!S105=0,"//---END",'Product-ConceptMap'!S105)</f>
        <v>//---END</v>
      </c>
    </row>
    <row r="111" spans="2:2" x14ac:dyDescent="0.75">
      <c r="B111" s="10" t="str">
        <f>IF('Product-ConceptMap'!S106=0,"//---END",'Product-ConceptMap'!S106)</f>
        <v>//---END</v>
      </c>
    </row>
    <row r="112" spans="2:2" x14ac:dyDescent="0.75">
      <c r="B112" s="10" t="str">
        <f>IF('Product-ConceptMap'!S107=0,"//---END",'Product-ConceptMap'!S107)</f>
        <v>//---END</v>
      </c>
    </row>
    <row r="113" spans="2:2" x14ac:dyDescent="0.75">
      <c r="B113" s="10" t="str">
        <f>IF('Product-ConceptMap'!S108=0,"//---END",'Product-ConceptMap'!S108)</f>
        <v>//---END</v>
      </c>
    </row>
    <row r="114" spans="2:2" x14ac:dyDescent="0.75">
      <c r="B114" s="10" t="str">
        <f>IF('Product-ConceptMap'!S109=0,"//---END",'Product-ConceptMap'!S109)</f>
        <v>//---END</v>
      </c>
    </row>
    <row r="115" spans="2:2" x14ac:dyDescent="0.75">
      <c r="B115" s="10" t="str">
        <f>IF('Product-ConceptMap'!S110=0,"//---END",'Product-ConceptMap'!S110)</f>
        <v>//---END</v>
      </c>
    </row>
    <row r="116" spans="2:2" x14ac:dyDescent="0.75">
      <c r="B116" s="10" t="str">
        <f>IF('Product-ConceptMap'!S111=0,"//---END",'Product-ConceptMap'!S111)</f>
        <v>//---END</v>
      </c>
    </row>
    <row r="117" spans="2:2" x14ac:dyDescent="0.75">
      <c r="B117" s="10" t="str">
        <f>IF('Product-ConceptMap'!S112=0,"//---END",'Product-ConceptMap'!S112)</f>
        <v>//---END</v>
      </c>
    </row>
    <row r="118" spans="2:2" x14ac:dyDescent="0.75">
      <c r="B118" s="10" t="str">
        <f>IF('Product-ConceptMap'!S113=0,"//---END",'Product-ConceptMap'!S113)</f>
        <v>//---END</v>
      </c>
    </row>
    <row r="119" spans="2:2" x14ac:dyDescent="0.75">
      <c r="B119" s="10" t="str">
        <f>IF('Product-ConceptMap'!S114=0,"//---END",'Product-ConceptMap'!S114)</f>
        <v>//---END</v>
      </c>
    </row>
    <row r="120" spans="2:2" x14ac:dyDescent="0.75">
      <c r="B120" s="10" t="str">
        <f>IF('Product-ConceptMap'!S115=0,"//---END",'Product-ConceptMap'!S115)</f>
        <v>//---END</v>
      </c>
    </row>
    <row r="121" spans="2:2" x14ac:dyDescent="0.75">
      <c r="B121" s="10" t="str">
        <f>IF('Product-ConceptMap'!S116=0,"//---END",'Product-ConceptMap'!S116)</f>
        <v>//---END</v>
      </c>
    </row>
    <row r="128" spans="2:2" x14ac:dyDescent="0.75">
      <c r="B128" s="50"/>
    </row>
    <row r="129" spans="2:2" x14ac:dyDescent="0.75">
      <c r="B129" s="52"/>
    </row>
    <row r="130" spans="2:2" x14ac:dyDescent="0.75">
      <c r="B130" s="52"/>
    </row>
    <row r="131" spans="2:2" x14ac:dyDescent="0.75">
      <c r="B131" s="54"/>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21</vt:i4>
      </vt:variant>
    </vt:vector>
  </HeadingPairs>
  <TitlesOfParts>
    <vt:vector size="21" baseType="lpstr">
      <vt:lpstr>Header</vt:lpstr>
      <vt:lpstr>Body</vt:lpstr>
      <vt:lpstr>Common</vt:lpstr>
      <vt:lpstr>Report</vt:lpstr>
      <vt:lpstr>eD</vt:lpstr>
      <vt:lpstr>eD-fsh</vt:lpstr>
      <vt:lpstr>eD-ConceptMap</vt:lpstr>
      <vt:lpstr>eD-CM-fsh</vt:lpstr>
      <vt:lpstr>eP</vt:lpstr>
      <vt:lpstr>eP-fsh</vt:lpstr>
      <vt:lpstr>eP-ConceptMap</vt:lpstr>
      <vt:lpstr>eP-ConceptMap-2</vt:lpstr>
      <vt:lpstr>eP-CM-fsh</vt:lpstr>
      <vt:lpstr>Subj</vt:lpstr>
      <vt:lpstr>Subj-fsh</vt:lpstr>
      <vt:lpstr>Subj-ConceptMap-1</vt:lpstr>
      <vt:lpstr>Subj-CM-fsh</vt:lpstr>
      <vt:lpstr>Product</vt:lpstr>
      <vt:lpstr>Product-fsh</vt:lpstr>
      <vt:lpstr>Product-ConceptMap</vt:lpstr>
      <vt:lpstr>Product-CM-fsh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2024-03-22T10:49:23Z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